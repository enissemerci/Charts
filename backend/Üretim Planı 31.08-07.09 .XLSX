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per\OneDrive\Masaüstü\mitaş bitirme data\metaheuristics\newStructure\ns2\webv6\"/>
    </mc:Choice>
  </mc:AlternateContent>
  <xr:revisionPtr revIDLastSave="0" documentId="13_ncr:1_{B0C9A1EC-0944-4423-8E8F-524B530624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ĞUK DÖVME" sheetId="4" r:id="rId1"/>
    <sheet name="Kapasite" sheetId="8" r:id="rId2"/>
    <sheet name="MEKANİK" sheetId="9" r:id="rId3"/>
    <sheet name="ISIL İŞLEM" sheetId="10" r:id="rId4"/>
    <sheet name="ÜRETİMDEN ISILA" sheetId="11" r:id="rId5"/>
  </sheets>
  <definedNames>
    <definedName name="_xlnm._FilterDatabase" localSheetId="3" hidden="1">'ISIL İŞLEM'!$A$1:$J$169</definedName>
    <definedName name="_xlnm._FilterDatabase" localSheetId="2" hidden="1">MEKANİK!$A$1:$K$267</definedName>
    <definedName name="_xlnm._FilterDatabase" localSheetId="0" hidden="1">'SOĞUK DÖVME'!$A$1:$M$108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4" l="1"/>
  <c r="L35" i="4" s="1"/>
  <c r="K3" i="4"/>
  <c r="L3" i="4" s="1"/>
  <c r="K4" i="4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K72" i="4"/>
  <c r="L72" i="4" s="1"/>
  <c r="K73" i="4"/>
  <c r="L73" i="4" s="1"/>
  <c r="K74" i="4"/>
  <c r="L74" i="4" s="1"/>
  <c r="K75" i="4"/>
  <c r="L75" i="4" s="1"/>
  <c r="K76" i="4"/>
  <c r="L76" i="4" s="1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2" i="4"/>
  <c r="L2" i="4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2" i="10"/>
  <c r="J10" i="8" l="1"/>
  <c r="I10" i="8"/>
  <c r="G10" i="8"/>
  <c r="E10" i="8"/>
  <c r="J9" i="8"/>
  <c r="I9" i="8"/>
  <c r="G9" i="8"/>
  <c r="E9" i="8"/>
  <c r="J8" i="8"/>
  <c r="I8" i="8"/>
  <c r="G8" i="8"/>
  <c r="E8" i="8"/>
  <c r="J7" i="8"/>
  <c r="I7" i="8"/>
  <c r="K7" i="8" s="1"/>
  <c r="G7" i="8"/>
  <c r="E7" i="8"/>
  <c r="J6" i="8"/>
  <c r="I6" i="8"/>
  <c r="G6" i="8"/>
  <c r="E6" i="8"/>
  <c r="J5" i="8"/>
  <c r="I5" i="8"/>
  <c r="G5" i="8"/>
  <c r="E5" i="8"/>
  <c r="J4" i="8"/>
  <c r="I4" i="8"/>
  <c r="G4" i="8"/>
  <c r="E4" i="8"/>
  <c r="K10" i="8" l="1"/>
  <c r="K9" i="8"/>
  <c r="K8" i="8"/>
  <c r="K6" i="8"/>
  <c r="K5" i="8"/>
  <c r="K4" i="8"/>
</calcChain>
</file>

<file path=xl/sharedStrings.xml><?xml version="1.0" encoding="utf-8"?>
<sst xmlns="http://schemas.openxmlformats.org/spreadsheetml/2006/main" count="2978" uniqueCount="1139">
  <si>
    <t>X</t>
  </si>
  <si>
    <t>4002668PR</t>
  </si>
  <si>
    <t>M20X70-ISO4017-8.8-STD-SDG-PR</t>
  </si>
  <si>
    <t>4006378PR</t>
  </si>
  <si>
    <t>M27X100-15048_ISO4014-8.8-STD-SDG-PR</t>
  </si>
  <si>
    <t>4003104PR</t>
  </si>
  <si>
    <t>M24X100-ISO4017-8.8-STD-SDG-PR</t>
  </si>
  <si>
    <t>4065496PR</t>
  </si>
  <si>
    <t>M20X60-DIN7990-5.6-TENNET-SDG-PR</t>
  </si>
  <si>
    <t>4065495PR</t>
  </si>
  <si>
    <t>M20X55-DIN7990-5.6-TENNET-SDG-PR</t>
  </si>
  <si>
    <t>4065522PR</t>
  </si>
  <si>
    <t>M30X75-DIN7990-5.6-TENNET-SDG-PR</t>
  </si>
  <si>
    <t>4001928PR</t>
  </si>
  <si>
    <t>M18X1.5X100-10312-10.9-84515089-DAC-PR</t>
  </si>
  <si>
    <t>4001932PR</t>
  </si>
  <si>
    <t>M18X1.5X150-10312-10.9-84515067-DAC-PR</t>
  </si>
  <si>
    <t>4002018PR</t>
  </si>
  <si>
    <t>M20X1.5X45-10312-8.8-11408621-ELK-PR</t>
  </si>
  <si>
    <t>4066048PR</t>
  </si>
  <si>
    <t>M30X140-DIN7990-5.6-TENNET-SDG-PR</t>
  </si>
  <si>
    <t>4065514PR</t>
  </si>
  <si>
    <t>M27X85-DIN7990-5.6-TENNET-SDG-PR</t>
  </si>
  <si>
    <t>4065513PR</t>
  </si>
  <si>
    <t>M27X80-DIN7990-5.6-TENNET-SDG-PR</t>
  </si>
  <si>
    <t>4065512PR</t>
  </si>
  <si>
    <t>M27X75-DIN7990-5.6-TENNET-SDG-PR</t>
  </si>
  <si>
    <t>4065781PR</t>
  </si>
  <si>
    <t>M27X110-DIN7990-5.6-TENNET-SDG-PR</t>
  </si>
  <si>
    <t>4065517PR</t>
  </si>
  <si>
    <t>M27X100-DIN7990-5.6-TENNET-SDG-PR</t>
  </si>
  <si>
    <t>4044722PR</t>
  </si>
  <si>
    <t>M16X160-ISO4014-8.8-STD-SDG-PR</t>
  </si>
  <si>
    <t>4001504PR</t>
  </si>
  <si>
    <t>M16X50-DIN7990-8.8-STD-SDG-PR</t>
  </si>
  <si>
    <t>4002486PR</t>
  </si>
  <si>
    <t>M20X60-15048_ISO4017-8.8-STD-SDG-PR</t>
  </si>
  <si>
    <t>4000057PR</t>
  </si>
  <si>
    <t>3/4"X2"-A394-T1-STD-SDG-PR</t>
  </si>
  <si>
    <t>4000049PR</t>
  </si>
  <si>
    <t>3/4"X2 1/2"-A394-T1-STD-SDG-PR</t>
  </si>
  <si>
    <t>4000054PR</t>
  </si>
  <si>
    <t>3/4"X2 1/4"-A394-T1-STD-SDG-PR</t>
  </si>
  <si>
    <t>4000206PR</t>
  </si>
  <si>
    <t>M10X1.25X60-10312-10.9-11288031-ELK-PR</t>
  </si>
  <si>
    <t>4033620PR</t>
  </si>
  <si>
    <t>M24X150-EN14399_3-8.8-STD-SYH-PR</t>
  </si>
  <si>
    <t>4001514PR</t>
  </si>
  <si>
    <t>M16X50-DIN933-8.8-STD-SDG-PR</t>
  </si>
  <si>
    <t>4000237PR</t>
  </si>
  <si>
    <t>M10X120-DIN931-8.8-STD-SDG-PR</t>
  </si>
  <si>
    <t>4000041PR</t>
  </si>
  <si>
    <t>3/4"X1 3/4"-A394-T0-STD-SDG-PR</t>
  </si>
  <si>
    <t>4002570PR</t>
  </si>
  <si>
    <t>M20X65-DIN7990-8.8-STD-SDG-PR</t>
  </si>
  <si>
    <t>4001650PR</t>
  </si>
  <si>
    <t>M16X60-ISO4014-8.8-STATNETT-SDG-PR</t>
  </si>
  <si>
    <t>4003402PR</t>
  </si>
  <si>
    <t>M24X55-DIN7990-5.8-STD-SDG-PR</t>
  </si>
  <si>
    <t>4003638PR</t>
  </si>
  <si>
    <t>M24X82-UZAYCATI-10.9-EKRSM-DAC-PR</t>
  </si>
  <si>
    <t>4000077PR</t>
  </si>
  <si>
    <t>3/4"X3"-A394-T1-STD-SDG-PR</t>
  </si>
  <si>
    <t>4000131PR</t>
  </si>
  <si>
    <t>5/8"X1 3/4"-A394-T1-STD-SDG-PR</t>
  </si>
  <si>
    <t>4000139PR</t>
  </si>
  <si>
    <t>5/8"X2 1/4"-A394-T1-STD-SDG-PR</t>
  </si>
  <si>
    <t>4002697PR</t>
  </si>
  <si>
    <t>M20X75-DIN931-5.8-STD-SDG-PR</t>
  </si>
  <si>
    <t>4001393PR</t>
  </si>
  <si>
    <t>M16X40-DIN7990-8.8-STD-SDG-PR</t>
  </si>
  <si>
    <t>4001568PR</t>
  </si>
  <si>
    <t>M16X55-DIN7990-8.8-STD-SDG-PR</t>
  </si>
  <si>
    <t>4002355PR</t>
  </si>
  <si>
    <t>M20X45-DIN7990-8.8-STD-SDG-PR</t>
  </si>
  <si>
    <t>4000742PR</t>
  </si>
  <si>
    <t>M12X50-DIN7990-5.8-STD-SDG-PR</t>
  </si>
  <si>
    <t>4003518PR</t>
  </si>
  <si>
    <t>M24X70-DIN7990-5.8-STD-SDG-PR</t>
  </si>
  <si>
    <t>4001572PR</t>
  </si>
  <si>
    <t>M16X55-DIN931-6.8-STD-SDG-PR</t>
  </si>
  <si>
    <t>4002098PR</t>
  </si>
  <si>
    <t>M20X110-ISO4014-8.8-STD-SDG-PR</t>
  </si>
  <si>
    <t>4002624PR</t>
  </si>
  <si>
    <t>M20X70-ANTIVANDAL-5.8-STD-SDG-PR</t>
  </si>
  <si>
    <t>4001808PR</t>
  </si>
  <si>
    <t>M16X75-ISO4014-8.8-STATNETT-SDG-PR</t>
  </si>
  <si>
    <t>4002747PR</t>
  </si>
  <si>
    <t>M20X80-DIN931-5.8-STD-SDG-PR</t>
  </si>
  <si>
    <t>4000726PR</t>
  </si>
  <si>
    <t>M12X50-15048_ISO4017-8.8-STD-SDG-PR</t>
  </si>
  <si>
    <t>4001752PR</t>
  </si>
  <si>
    <t>M16X70-DIN931-8.8-STD-SDG-PR</t>
  </si>
  <si>
    <t>4003508PR</t>
  </si>
  <si>
    <t>M24X70-ANTIVANDAL-8.8-STD-SDG-PR</t>
  </si>
  <si>
    <t>4001259PR</t>
  </si>
  <si>
    <t>M16X200-15048_ISO4014-8.8-STD-SDG-PR</t>
  </si>
  <si>
    <t>4003604PR</t>
  </si>
  <si>
    <t>M24X80-ANTIVANDAL-5.8-STD-SDG-PR</t>
  </si>
  <si>
    <t>4003694PR</t>
  </si>
  <si>
    <t>M24X90-ANTIVANDAL-5.8-STD-SDG-PR</t>
  </si>
  <si>
    <t>4000664PR</t>
  </si>
  <si>
    <t>M12X45-15048_ISO4014-8.8-STD-SDG-PR</t>
  </si>
  <si>
    <t>3014937PR</t>
  </si>
  <si>
    <t>M16-DIN934-8-STD-SDG-PR</t>
  </si>
  <si>
    <t>4011306PR</t>
  </si>
  <si>
    <t>M16X100-15048_ISO4014-8.8-STD-SDG-PR</t>
  </si>
  <si>
    <t>4000883PR</t>
  </si>
  <si>
    <t>M12X70-DIN931-8.8-STD-SDG-PR</t>
  </si>
  <si>
    <t>4065510PR</t>
  </si>
  <si>
    <t>M27X65-DIN7990-5.6-TENNET-SDG-PR</t>
  </si>
  <si>
    <t>4065511PR</t>
  </si>
  <si>
    <t>M27X70-DIN7990-5.6-TENNET-SDG-PR</t>
  </si>
  <si>
    <t>4065493PR</t>
  </si>
  <si>
    <t>M20X45-DIN7990-5.6-TENNET-SDG-PR</t>
  </si>
  <si>
    <t>4065494PR</t>
  </si>
  <si>
    <t>M20X50-DIN7990-5.6-TENNET-SDG-PR</t>
  </si>
  <si>
    <t>4065499PR</t>
  </si>
  <si>
    <t>M24X55-DIN7990-5.6-TENNET-SDG-PR</t>
  </si>
  <si>
    <t>4065500PR</t>
  </si>
  <si>
    <t>M24X60-DIN7990-5.6-TENNET-SDG-PR</t>
  </si>
  <si>
    <t>4065501PR</t>
  </si>
  <si>
    <t>M24X65-DIN7990-5.6-TENNET-SDG-PR</t>
  </si>
  <si>
    <t>4065502PR</t>
  </si>
  <si>
    <t>M24X70-DIN7990-5.6-TENNET-SDG-PR</t>
  </si>
  <si>
    <t>4065503PR</t>
  </si>
  <si>
    <t>M24X75-DIN7990-5.6-TENNET-SDG-PR</t>
  </si>
  <si>
    <t>4065504PR</t>
  </si>
  <si>
    <t>M24X80-DIN7990-5.6-TENNET-SDG-PR</t>
  </si>
  <si>
    <t>4065506PR</t>
  </si>
  <si>
    <t>M24X90-DIN7990-5.6-TENNET-SDG-PR</t>
  </si>
  <si>
    <t>4003881PR</t>
  </si>
  <si>
    <t>M27X195-2006A-8.8-STATNETT-SDG-PR</t>
  </si>
  <si>
    <t>4065515PR</t>
  </si>
  <si>
    <t>M27X90-DIN7990-5.6-TENNET-SDG-PR</t>
  </si>
  <si>
    <t>4065516PR</t>
  </si>
  <si>
    <t>M27X95-DIN7990-5.6-TENNET-SDG-PR</t>
  </si>
  <si>
    <t>4065518PR</t>
  </si>
  <si>
    <t>M27X105-DIN7990-5.6-TENNET-SDG-PR</t>
  </si>
  <si>
    <t>4065519PR</t>
  </si>
  <si>
    <t>M27X115-DIN7990-5.6-TENNET-SDG-PR</t>
  </si>
  <si>
    <t>4065525PR</t>
  </si>
  <si>
    <t>M30X90-DIN7990-5.6-TENNET-SDG-PR</t>
  </si>
  <si>
    <t>3016693PR</t>
  </si>
  <si>
    <t>M16-15048_ISO4032-8-STD-SDG-PR</t>
  </si>
  <si>
    <t>4004288PR</t>
  </si>
  <si>
    <t>M30X85-DIN7990-8.8-STD-SDG-PR</t>
  </si>
  <si>
    <t>4018262PR</t>
  </si>
  <si>
    <t>M10X30-DIN933-8.8-STD-GEO-PR</t>
  </si>
  <si>
    <t>4004026PR</t>
  </si>
  <si>
    <t>M27X90-DIN7990-8.8-STD-SDG-PR</t>
  </si>
  <si>
    <t>4000997PR</t>
  </si>
  <si>
    <t>M14X35-DIN933-8.8-STD-SDG-PR</t>
  </si>
  <si>
    <t>4002229PR</t>
  </si>
  <si>
    <t>M20X200-DIN931-6.8-VB=80MM-SDG-PR</t>
  </si>
  <si>
    <t>4065785PR</t>
  </si>
  <si>
    <t>M27X140-DIN7990-5.6-TENNET-SDG-PR</t>
  </si>
  <si>
    <t>4065982PR</t>
  </si>
  <si>
    <t>M27X120-DIN7990-5.6-TENNET-SDG-PR</t>
  </si>
  <si>
    <t>4065782PR</t>
  </si>
  <si>
    <t>M27X125-DIN7990-5.6-TENNET-SDG-PR</t>
  </si>
  <si>
    <t>4066047PR</t>
  </si>
  <si>
    <t>M30X135-DIN7990-5.6-TENNET-SDG-PR</t>
  </si>
  <si>
    <t>4066050PR</t>
  </si>
  <si>
    <t>M30X160-DIN7990-5.6-TENNET-SDG-PR</t>
  </si>
  <si>
    <t>4066013PR</t>
  </si>
  <si>
    <t>M30X150-DIN7990-5.6-TENNET-SDG-PR</t>
  </si>
  <si>
    <t>4003983PR</t>
  </si>
  <si>
    <t>M27X80-DIN7990-8.8-STD-SDG-PR</t>
  </si>
  <si>
    <t>4066131PR</t>
  </si>
  <si>
    <t>M12X70-DIN963-8.8-STD-SDG-PR</t>
  </si>
  <si>
    <t>4014312PR</t>
  </si>
  <si>
    <t>M22X60-15048_ISO4014-8.8-STD-SDG-PR</t>
  </si>
  <si>
    <t>4066256PR</t>
  </si>
  <si>
    <t>M16X40-DIN7990-6.8-30MM_ASF-SDG-PR</t>
  </si>
  <si>
    <t>4066257PR</t>
  </si>
  <si>
    <t>M16X45-DIN7990-6.8-30MM_ASF-SDG-PR</t>
  </si>
  <si>
    <t>4065198PR</t>
  </si>
  <si>
    <t>M14X105-24B02277-8.8-AHM14105G-SDG-PR</t>
  </si>
  <si>
    <t>3014932PR</t>
  </si>
  <si>
    <t>M12-DIN934-8-STD-SDG-PR</t>
  </si>
  <si>
    <t>4004093PR</t>
  </si>
  <si>
    <t>M30X110-DIN7990-5.8-STD-SDG-PR</t>
  </si>
  <si>
    <t>4002013PR</t>
  </si>
  <si>
    <t>M20X1.5X110-10312-10.9-15989334-DAC-PR</t>
  </si>
  <si>
    <t>3030166PR</t>
  </si>
  <si>
    <t>M16-ISO4033-10-STD-SYH-PR</t>
  </si>
  <si>
    <t>4000340PR</t>
  </si>
  <si>
    <t>M10X60-DIN933-8.8-STD-SDG-PR</t>
  </si>
  <si>
    <t>3014946PR</t>
  </si>
  <si>
    <t>M24-DIN934-8-STD-SDG-PR</t>
  </si>
  <si>
    <t>4012468PR</t>
  </si>
  <si>
    <t>M18X40-15048_ISO4017-8.8-STD-SDG-PR</t>
  </si>
  <si>
    <t>4012789PR</t>
  </si>
  <si>
    <t>M20X125-EN14399_3-8.8-STD-SDG-PR</t>
  </si>
  <si>
    <t>4004051PR</t>
  </si>
  <si>
    <t>M27X95-DIN933-6.8-STD-SDG-PR</t>
  </si>
  <si>
    <t>4004008PR</t>
  </si>
  <si>
    <t>M27X85-DIN933-6.8-STD-SDG-PR</t>
  </si>
  <si>
    <t>4003986PR</t>
  </si>
  <si>
    <t>M27X80-DIN933-6.8-STD-SDG-PR</t>
  </si>
  <si>
    <t>4003622PR</t>
  </si>
  <si>
    <t>M24X80-DIN931-6.8-STD-SDG-PR</t>
  </si>
  <si>
    <t>4014725PR</t>
  </si>
  <si>
    <t>M24X150-EN14399_3-8.8-STD-SDG-PR</t>
  </si>
  <si>
    <t>4017053PR</t>
  </si>
  <si>
    <t>M30X180-EN14399_3-8.8-STD-SDG-PR</t>
  </si>
  <si>
    <t>4004068PR</t>
  </si>
  <si>
    <t>M30X100-DIN931-6.8-STD-SDG-PR</t>
  </si>
  <si>
    <t>4004086PR</t>
  </si>
  <si>
    <t>M30X105-DIN931-6.8-STD-SDG-PR</t>
  </si>
  <si>
    <t>3016692PR</t>
  </si>
  <si>
    <t>M12-15048_ISO4032-8-STD-SDG-PR</t>
  </si>
  <si>
    <t>4003592PR</t>
  </si>
  <si>
    <t>M24X80-15048_ISO4017-8.8-STD-SDG-PR</t>
  </si>
  <si>
    <t>3003047PR</t>
  </si>
  <si>
    <t>M12-15048_ISO4032-10-STD-SDG-PR</t>
  </si>
  <si>
    <t>4066023PR</t>
  </si>
  <si>
    <t>M30X95-DIN7990-5.6-TENNET-SDG-PR</t>
  </si>
  <si>
    <t>4002024PR</t>
  </si>
  <si>
    <t>M20X100-15048_ISO4014-8.8-STD-SDG-PR</t>
  </si>
  <si>
    <t>3016694PR</t>
  </si>
  <si>
    <t>M20-15048_ISO4032-8-STD-SDG-PR</t>
  </si>
  <si>
    <t>4003761PR</t>
  </si>
  <si>
    <t>M27X100-DIN933-6.8-STD-SDG-PR</t>
  </si>
  <si>
    <t>4003578PR</t>
  </si>
  <si>
    <t>M24X75-DIN933-5.8-STD-SDG-PR</t>
  </si>
  <si>
    <t>4003128PR</t>
  </si>
  <si>
    <t>M24X110-15048_ISO4014-8.8-STD-SDG-PR</t>
  </si>
  <si>
    <t>4067264PR</t>
  </si>
  <si>
    <t>M24X75-15048_ISO4014-8.8-SK-SDG-PR</t>
  </si>
  <si>
    <t>4067268PR</t>
  </si>
  <si>
    <t>M20X85-15048_ISO4014-8.8-SK-SDG-PR</t>
  </si>
  <si>
    <t>4067261PR</t>
  </si>
  <si>
    <t>M20X75-15048_ISO4014-8.8-SK-SDG-PR</t>
  </si>
  <si>
    <t>4067260PR</t>
  </si>
  <si>
    <t>M20X70-15048_ISO4014-8.8-SK-SDG-PR</t>
  </si>
  <si>
    <t>4067258PR</t>
  </si>
  <si>
    <t>M20X60-15048_ISO4014-8.8-SK-SDG-PR</t>
  </si>
  <si>
    <t>4067257PR</t>
  </si>
  <si>
    <t>M20X55-15048_ISO4014-8.8-SK-SDG-PR</t>
  </si>
  <si>
    <t>4067256PR</t>
  </si>
  <si>
    <t>M20X50-15048_ISO4014-8.8-SK-SDG-PR</t>
  </si>
  <si>
    <t>4067248PR</t>
  </si>
  <si>
    <t>M12X35-15048_ISO4014-8.8-SK-SDG-PR</t>
  </si>
  <si>
    <t>3021709PR</t>
  </si>
  <si>
    <t>1/2"-A563-GRDH-STD-SDG-PR</t>
  </si>
  <si>
    <t>4017660PR</t>
  </si>
  <si>
    <t>M30X90-15048_ISO4017-8.8-STD-SDG-PR</t>
  </si>
  <si>
    <t>4067253PR</t>
  </si>
  <si>
    <t>M16X55-15048_ISO4014-8.8-SK-SDG-PR</t>
  </si>
  <si>
    <t>4067252PR</t>
  </si>
  <si>
    <t>M16X50-15048_ISO4014-8.8-SK-SDG-PR</t>
  </si>
  <si>
    <t>4067251PR</t>
  </si>
  <si>
    <t>M16X45-15048_ISO4014-8.8-SK-SDG-PR</t>
  </si>
  <si>
    <t>4067329PR</t>
  </si>
  <si>
    <t>M16X40-15048_ISO4014-8.8-SK-SDG-PR</t>
  </si>
  <si>
    <t>4067250PR</t>
  </si>
  <si>
    <t>M12X45-15048_ISO4014-8.8-SK-SDG-PR</t>
  </si>
  <si>
    <t>4067394PR</t>
  </si>
  <si>
    <t>M20X110-15048_ISO4014-8.8-SK-SDG-PR</t>
  </si>
  <si>
    <t>4067330PR</t>
  </si>
  <si>
    <t>M12X50-15048_ISO4014-8.8-SK-SDG-PR</t>
  </si>
  <si>
    <t>3014778PR</t>
  </si>
  <si>
    <t>3/4"-A563-GRDH-STD-SDG-PR</t>
  </si>
  <si>
    <t>4067097PR</t>
  </si>
  <si>
    <t>M18X1.5X75-EKRSM-10.9-103598-GEO-PR</t>
  </si>
  <si>
    <t>3014762PR</t>
  </si>
  <si>
    <t>3/4"-A563-GRA-STD-SDG-PR</t>
  </si>
  <si>
    <t>4067569PR</t>
  </si>
  <si>
    <t>M20X65-15048_ISO4014-8.8-SS-SDG-PR</t>
  </si>
  <si>
    <t>4012774PR</t>
  </si>
  <si>
    <t>M20X125-F3125M-A325M-STD-SDG-PR</t>
  </si>
  <si>
    <t>4067670PR</t>
  </si>
  <si>
    <t>M12X55-15048_ISO4014-8.8-SK-SDG-PR</t>
  </si>
  <si>
    <t>3015204PR</t>
  </si>
  <si>
    <t>M30-EN14399_4-10-STD-SDG-PR</t>
  </si>
  <si>
    <t>3030339PR</t>
  </si>
  <si>
    <t>5/8"-HHEX_A563-GRDH-STD-SDG-PR</t>
  </si>
  <si>
    <t>3016695PR</t>
  </si>
  <si>
    <t>M24-15048_ISO4032-8-STD-SDG-PR</t>
  </si>
  <si>
    <t>4067768PR</t>
  </si>
  <si>
    <t>M16X35-DIN7990-6.8-ASF_VB=30MM-SDG-PR</t>
  </si>
  <si>
    <t>4015872PR</t>
  </si>
  <si>
    <t>M27X165-EN14399_3-10.9-STD-SDG-PR</t>
  </si>
  <si>
    <t>4015568PR</t>
  </si>
  <si>
    <t>M27X110-EN14399_3-10.9-STD-SDG-PR</t>
  </si>
  <si>
    <t>3030354PR</t>
  </si>
  <si>
    <t>1/2"-HHEX_A563-GRDH-STD-SDG-PR</t>
  </si>
  <si>
    <t>4067994PR</t>
  </si>
  <si>
    <t>M10X1.25X30-DIN6921-10.9-STD-SYH-PR</t>
  </si>
  <si>
    <t>4011176PR</t>
  </si>
  <si>
    <t>M14X60-15048_ISO4017-8.8-STD-SDG-PR</t>
  </si>
  <si>
    <t>3020407PR</t>
  </si>
  <si>
    <t>M24-DIN936-8-SOLDIS-SDG-PR</t>
  </si>
  <si>
    <t>4068142PR</t>
  </si>
  <si>
    <t>M10X65-DIN603-8.8-STD-EA3F-PR</t>
  </si>
  <si>
    <t>4068151PR</t>
  </si>
  <si>
    <t>M12X70-DIN603-8.8-STD-EA3F-PR</t>
  </si>
  <si>
    <t>4068169PR</t>
  </si>
  <si>
    <t>M16X1.5X55-DIN960-10.9-STD-EA3L-PR</t>
  </si>
  <si>
    <t>4067909PR</t>
  </si>
  <si>
    <t>M27X220-15048_ISO4014-8.8-RSM_DEL-SDG-PR</t>
  </si>
  <si>
    <t>4068276PR</t>
  </si>
  <si>
    <t>M12X55-15048_DIN7990-8.8-+3EX-SDG-PR</t>
  </si>
  <si>
    <t>4068280PR</t>
  </si>
  <si>
    <t>M16X50-15048_DIN7990-8.8-+3EX-SDG-PR</t>
  </si>
  <si>
    <t>4068282PR</t>
  </si>
  <si>
    <t>M16X60-15048_DIN7990-8.8-+3EX-SDG-PR</t>
  </si>
  <si>
    <t>4068283PR</t>
  </si>
  <si>
    <t>M16X65-15048_DIN7990-8.8-+3EX-SDG-PR</t>
  </si>
  <si>
    <t>4068286PR</t>
  </si>
  <si>
    <t>M20X55-15048_DIN7990-8.8-+3EX-SDG-PR</t>
  </si>
  <si>
    <t>4068287PR</t>
  </si>
  <si>
    <t>M20X60-15048_DIN7990-8.8-+3EX-SDG-PR</t>
  </si>
  <si>
    <t>4068288PR</t>
  </si>
  <si>
    <t>M20X65-15048_DIN7990-8.8-+3EX-SDG-PR</t>
  </si>
  <si>
    <t>4068296PR</t>
  </si>
  <si>
    <t>M20X45-15048_DIN7990-8.8-+3EX-SDG-PR</t>
  </si>
  <si>
    <t>4068297PR</t>
  </si>
  <si>
    <t>M20X50-15048_DIN7990-8.8-+3EX-SDG-PR</t>
  </si>
  <si>
    <t>4068300PR</t>
  </si>
  <si>
    <t>M24X60-15048_DIN7990-8.8-+3EX-SDG-PR</t>
  </si>
  <si>
    <t>4068301PR</t>
  </si>
  <si>
    <t>M24X65-15048_DIN7990-8.8-+3EX-SDG-PR</t>
  </si>
  <si>
    <t>4068302PR</t>
  </si>
  <si>
    <t>M24X70-15048_DIN7990-8.8-+3EX-SDG-PR</t>
  </si>
  <si>
    <t>4068303PR</t>
  </si>
  <si>
    <t>M24X75-15048_DIN7990-8.8-+3EX-SDG-PR</t>
  </si>
  <si>
    <t>4068306PR</t>
  </si>
  <si>
    <t>M24X90-15048_DIN7990-8.8-+3EX-SDG-PR</t>
  </si>
  <si>
    <t>4068308PR</t>
  </si>
  <si>
    <t>M24X100-15048_DIN7990-8.8-+3EX-SDG-PR</t>
  </si>
  <si>
    <t>4068309PR</t>
  </si>
  <si>
    <t>M24X105-15048_DIN7990-8.8-+3EX-SDG-PR</t>
  </si>
  <si>
    <t>4068332PR</t>
  </si>
  <si>
    <t>M16X1.5X45-DIN48073-8.8-EKRSM-SDG-PR</t>
  </si>
  <si>
    <t>4068506PR</t>
  </si>
  <si>
    <t>M30X160-EN14399_3-8.8-CE-SDG-PR</t>
  </si>
  <si>
    <t>4068504PR</t>
  </si>
  <si>
    <t>M30X130-EN14399_3-8.8-CE-SDG-PR</t>
  </si>
  <si>
    <t>4068489PR</t>
  </si>
  <si>
    <t>M30X120-EN14399_3-8.8-CE-SDG-PR</t>
  </si>
  <si>
    <t>4001430PR</t>
  </si>
  <si>
    <t>M16X45-ANTIVANDAL-8.8-VB=38MM-SDG-PR</t>
  </si>
  <si>
    <t>4001488PR</t>
  </si>
  <si>
    <t>M16X50-ANTIVANDAL-8.8-VB=38MM-SDG-PR</t>
  </si>
  <si>
    <t>4001614PR</t>
  </si>
  <si>
    <t>M16X60-ANTIVANDAL-8.8-VB=38MM-SDG-PR</t>
  </si>
  <si>
    <t>4068479PR</t>
  </si>
  <si>
    <t>M16X80-EN14399_3-8.8-CE-SDG-PR</t>
  </si>
  <si>
    <t>4068524PR</t>
  </si>
  <si>
    <t>M12X85-DIN7990-5.6-TENNET-SDG-PR</t>
  </si>
  <si>
    <t>3030402PR</t>
  </si>
  <si>
    <t>M16-EN14399-3-8-CE-SDG-PR</t>
  </si>
  <si>
    <t>3030403PR</t>
  </si>
  <si>
    <t>M20-EN14399-3-8-CE-SDG-PR</t>
  </si>
  <si>
    <t>4068177PR</t>
  </si>
  <si>
    <t>M30X115-ISO4014-8.8-SK_DEL_EKRSM-SDG-PR</t>
  </si>
  <si>
    <t>4001507PR</t>
  </si>
  <si>
    <t>M16X50-DIN931-6.8-STD-SDG-PR</t>
  </si>
  <si>
    <t>4068104PR</t>
  </si>
  <si>
    <t>M16X1.5X50-DIN48073-8.8-EKRSM-SDG-PR</t>
  </si>
  <si>
    <t>4068107PR</t>
  </si>
  <si>
    <t>M22X1.5X179-DIN48073-8.8-EKRSM-SDG-PR</t>
  </si>
  <si>
    <t>4068108PR</t>
  </si>
  <si>
    <t>M22X1.5X48-DIN48073-8.8-EKRSM-SDG-PR</t>
  </si>
  <si>
    <t>4068109PR</t>
  </si>
  <si>
    <t>M22X1.5X52-DIN48073-8.8-EKRSM-SDG-PR</t>
  </si>
  <si>
    <t>4068110PR</t>
  </si>
  <si>
    <t>M22X1.5X58-DIN48073-8.8-EKRSM-SDG-PR</t>
  </si>
  <si>
    <t>4068554PR</t>
  </si>
  <si>
    <t>M16X1.5X60-DIN48073-8.8-EKRSM-SDG-PR</t>
  </si>
  <si>
    <t>4017665PR</t>
  </si>
  <si>
    <t>M30X90-DIN7990-5.8-STD-SDG-PR</t>
  </si>
  <si>
    <t>4014291PR</t>
  </si>
  <si>
    <t>M22X55-15048_ISO4014-8.8-STD-SDG-PR</t>
  </si>
  <si>
    <t>4068695PR</t>
  </si>
  <si>
    <t>M16X100-15048_ISO4014-8.8-SK-SDG-PR</t>
  </si>
  <si>
    <t>4068683PR</t>
  </si>
  <si>
    <t>M20X60-DIN7990-6.8-B35MM_ASF-SDG-PR</t>
  </si>
  <si>
    <t>4068684PR</t>
  </si>
  <si>
    <t>M20X65-DIN7990-6.8-B35MM_ASF-SDG-PR</t>
  </si>
  <si>
    <t>4068685PR</t>
  </si>
  <si>
    <t>M20X70-DIN7990-6.8-B35MM_ASF-SDG-PR</t>
  </si>
  <si>
    <t>4068686PR</t>
  </si>
  <si>
    <t>M20X75-DIN7990-6.8-B35MM_ASF-SDG-PR</t>
  </si>
  <si>
    <t>4068687PR</t>
  </si>
  <si>
    <t>M20X80-DIN7990-6.8-B35MM_ASF-SDG-PR</t>
  </si>
  <si>
    <t>4068688PR</t>
  </si>
  <si>
    <t>M20X85-DIN7990-6.8-B35MM_ASF-SDG-PR</t>
  </si>
  <si>
    <t>4068689PR</t>
  </si>
  <si>
    <t>M20X90-DIN7990-6.8-B35MM_ASF-SDG-PR</t>
  </si>
  <si>
    <t>4068690PR</t>
  </si>
  <si>
    <t>M20X95-DIN7990-6.8-B35MM_ASF-SDG-PR</t>
  </si>
  <si>
    <t>4068691PR</t>
  </si>
  <si>
    <t>M20X100-DIN7990-6.8-B35MM_ASF-SDG-PR</t>
  </si>
  <si>
    <t>4068692PR</t>
  </si>
  <si>
    <t>M20X105-DIN7990-6.8-B35MM_ASF-SDG-PR</t>
  </si>
  <si>
    <t>4068693PR</t>
  </si>
  <si>
    <t>M20X110-DIN7990-6.8-B35MM_ASF-SDG-PR</t>
  </si>
  <si>
    <t>4068694PR</t>
  </si>
  <si>
    <t>M20X115-DIN7990-6.8-B35MM_ASF-SDG-PR</t>
  </si>
  <si>
    <t>4002259PR</t>
  </si>
  <si>
    <t>M20X220-DIN931-8.8-STD-SDG-PR</t>
  </si>
  <si>
    <t>4000330PR</t>
  </si>
  <si>
    <t>M10X55-ISO4017-8.8-STD-SDG-PR</t>
  </si>
  <si>
    <t>4003463PR</t>
  </si>
  <si>
    <t>M24X65-ANTIVANDAL-8.8-VB=54MM-SDG-PR</t>
  </si>
  <si>
    <t>4067155PR</t>
  </si>
  <si>
    <t>M30X165-DIN7990-5.6-TENNET-SDG-PR</t>
  </si>
  <si>
    <t>4068653PR</t>
  </si>
  <si>
    <t>M30X95-15048_DIN7990-8.8-EKRSM-SDG-PR</t>
  </si>
  <si>
    <t>4068655PR</t>
  </si>
  <si>
    <t>M30X105-15048_DIN7990-8.8-EKRSM-SDG-PR</t>
  </si>
  <si>
    <t>4068661PR</t>
  </si>
  <si>
    <t>M30X110-15048_DIN7990-8.8-EKRSM-SDG-PR</t>
  </si>
  <si>
    <t>4068663PR</t>
  </si>
  <si>
    <t>M30X155-15048_DIN7990-8.8-EKRSM-SDG-PR</t>
  </si>
  <si>
    <t>4068664PR</t>
  </si>
  <si>
    <t>M30X175-15048_DIN7990-8.8-EKRSM-SDG-PR</t>
  </si>
  <si>
    <t>4011615PR</t>
  </si>
  <si>
    <t>M16X160-15048_ISO4017-8.8-STD-SDG-PR</t>
  </si>
  <si>
    <t>4068654PR</t>
  </si>
  <si>
    <t>M30X100-15048_DIN7990-8.8-EKRSM-SDG-PR</t>
  </si>
  <si>
    <t>4068662PR</t>
  </si>
  <si>
    <t>M30X115-15048_DIN7990-8.8-EKRSM-SDG-PR</t>
  </si>
  <si>
    <t>4003574PR</t>
  </si>
  <si>
    <t>M24X75-DIN931-6.8-STD-SDG-PR</t>
  </si>
  <si>
    <t>4003776PR</t>
  </si>
  <si>
    <t>M27X105-DIN933-6.8-STD-SDG-PR</t>
  </si>
  <si>
    <t>4004029PR</t>
  </si>
  <si>
    <t>M27X90-DIN933-6.8-STD-SDG-PR</t>
  </si>
  <si>
    <t>4004303PR</t>
  </si>
  <si>
    <t>M30X90-DIN931-6.8-STD-SDG-PR</t>
  </si>
  <si>
    <t>4004317PR</t>
  </si>
  <si>
    <t>M30X95-DIN931-6.8-STD-SDG-PR</t>
  </si>
  <si>
    <t>4068209PR</t>
  </si>
  <si>
    <t>3/4"X2"-A394-T1-BLUE-SDG-PR</t>
  </si>
  <si>
    <t>4068207PR</t>
  </si>
  <si>
    <t>3/4"X2 1/4"-A394-T1-GOLD-SDG-PR</t>
  </si>
  <si>
    <t>4068206PR</t>
  </si>
  <si>
    <t>3/4"X2 1/2"-A394-T1-RED-SDG-PR</t>
  </si>
  <si>
    <t>4068028PR</t>
  </si>
  <si>
    <t>5/8"X1 3/4"-A394-T1-GREEN-SDG-PR</t>
  </si>
  <si>
    <t>4068703PR</t>
  </si>
  <si>
    <t>M16X175-15048_ISO4014-8.8-SK-SDG-PR</t>
  </si>
  <si>
    <t>4068702PR</t>
  </si>
  <si>
    <t>M12X50-15048_ISO4014-8.8-SK_T70NM-SDG-PR</t>
  </si>
  <si>
    <t>4068701PR</t>
  </si>
  <si>
    <t>M12X45-15048_ISO4014-8.8-SK_T70NM-SDG-PR</t>
  </si>
  <si>
    <t>4068700PR</t>
  </si>
  <si>
    <t>M12X35-15048_ISO4014-8.8-SK_T70NM-SDG-PR</t>
  </si>
  <si>
    <t>4068696PR</t>
  </si>
  <si>
    <t>M12X40-15048_ISO4014-8.8-SK_T70NM-SDG-PR</t>
  </si>
  <si>
    <t>4068212PR</t>
  </si>
  <si>
    <t>M16X35-15048_ISO4014-8.8-SK-SDG-PR</t>
  </si>
  <si>
    <t>4065569PR</t>
  </si>
  <si>
    <t>M24X240-EKRSM-5.6-W160X240-SDG-PR</t>
  </si>
  <si>
    <t>Malzeme</t>
  </si>
  <si>
    <t>Malzeme kısa metni</t>
  </si>
  <si>
    <t>Öncelik</t>
  </si>
  <si>
    <t>Miktar</t>
  </si>
  <si>
    <t>Müşteri Siparişi</t>
  </si>
  <si>
    <t>PYP No</t>
  </si>
  <si>
    <t>Proje</t>
  </si>
  <si>
    <t>Sevk Tarihi</t>
  </si>
  <si>
    <t>Makine</t>
  </si>
  <si>
    <t>Makine Hızı</t>
  </si>
  <si>
    <t>Süre (dk)</t>
  </si>
  <si>
    <t>Toplam Süre (dk)</t>
  </si>
  <si>
    <t>Not</t>
  </si>
  <si>
    <t>-</t>
  </si>
  <si>
    <t>MİTAŞ ENERJİ</t>
  </si>
  <si>
    <t xml:space="preserve">SAS CHARIGNON  </t>
  </si>
  <si>
    <t>1000004004-04</t>
  </si>
  <si>
    <t>VIC AURORA LINEA LOT1</t>
  </si>
  <si>
    <t>1000003983-06</t>
  </si>
  <si>
    <t>VIC BARSEBACK</t>
  </si>
  <si>
    <t xml:space="preserve">BOLLHOFF </t>
  </si>
  <si>
    <t>1000003849-28</t>
  </si>
  <si>
    <t>STATNETT</t>
  </si>
  <si>
    <t>1000003962-05</t>
  </si>
  <si>
    <t>ARNAVUTLUK LA-OR</t>
  </si>
  <si>
    <t>1000003849-24</t>
  </si>
  <si>
    <t>4600000230-01</t>
  </si>
  <si>
    <t xml:space="preserve">VIDUKIN </t>
  </si>
  <si>
    <t>1000003951-YB55</t>
  </si>
  <si>
    <t>FRANSA CHARIGNON</t>
  </si>
  <si>
    <t>1000003997-04</t>
  </si>
  <si>
    <t>ENERSENSE-LEONHARD WEISS</t>
  </si>
  <si>
    <t>1000003972-03</t>
  </si>
  <si>
    <t>BALAD-ALMATHAB-XA DİREĞİ-LOT3</t>
  </si>
  <si>
    <t>5000001580-03</t>
  </si>
  <si>
    <t>TELLİOĞLU VİRANŞEHİR</t>
  </si>
  <si>
    <t>1000004058-02</t>
  </si>
  <si>
    <t>AS VOLKAN</t>
  </si>
  <si>
    <t xml:space="preserve">ARAB STEEL FABRICATION </t>
  </si>
  <si>
    <t xml:space="preserve">CEPS-OMEXOM </t>
  </si>
  <si>
    <t>1000003909-26</t>
  </si>
  <si>
    <t>CEPS-OMEXOM</t>
  </si>
  <si>
    <t>1000003962-08</t>
  </si>
  <si>
    <t>5000001546-03</t>
  </si>
  <si>
    <t>OSKAR</t>
  </si>
  <si>
    <t>TENNET</t>
  </si>
  <si>
    <t>BV6</t>
  </si>
  <si>
    <t>2500000381-01-02</t>
  </si>
  <si>
    <t>KOMPOZİT SİPARİŞİ</t>
  </si>
  <si>
    <t>BAŞÖZ</t>
  </si>
  <si>
    <t>1000003723-20</t>
  </si>
  <si>
    <t>ELTEL</t>
  </si>
  <si>
    <t>1000003777-511</t>
  </si>
  <si>
    <t>VIC ENERGY</t>
  </si>
  <si>
    <t>SP58</t>
  </si>
  <si>
    <t>4000002252-06</t>
  </si>
  <si>
    <t>1000003849-TZ25</t>
  </si>
  <si>
    <t>1000004004-02</t>
  </si>
  <si>
    <t>Sweden VIC Energy</t>
  </si>
  <si>
    <t>1000003909-23</t>
  </si>
  <si>
    <t>1000003895-06</t>
  </si>
  <si>
    <t>SP660</t>
  </si>
  <si>
    <t>1000004031-01</t>
  </si>
  <si>
    <t xml:space="preserve">DEXTRON ISEYN-SHAKİ </t>
  </si>
  <si>
    <t xml:space="preserve">KRAFT BULGARIA  </t>
  </si>
  <si>
    <t>1000003921-YB09</t>
  </si>
  <si>
    <t>1000003921-YB08</t>
  </si>
  <si>
    <t>ENERSENSE</t>
  </si>
  <si>
    <t>1000003860-YB09</t>
  </si>
  <si>
    <t>ERKUNT TRAKTÖR</t>
  </si>
  <si>
    <t>1000004073-01</t>
  </si>
  <si>
    <t>AEP Pikeville</t>
  </si>
  <si>
    <t>1000003939-15</t>
  </si>
  <si>
    <t>4500298534-PERU CONELSUR LOT3 SAT S</t>
  </si>
  <si>
    <t>1000003951-YB57</t>
  </si>
  <si>
    <t>5000001580-05</t>
  </si>
  <si>
    <t>1000003909-27</t>
  </si>
  <si>
    <t>4500298459-400kV - V403 Etap 1 &amp; 3</t>
  </si>
  <si>
    <t>??.??.????</t>
  </si>
  <si>
    <t>M16X260-15048_ISO4014-8.8-STD-SDG-PR</t>
  </si>
  <si>
    <t>1000004058-01</t>
  </si>
  <si>
    <t>1000004070-01</t>
  </si>
  <si>
    <t>IRAK MSM</t>
  </si>
  <si>
    <t>1000004027-04</t>
  </si>
  <si>
    <t>POLAT YOL YAPI</t>
  </si>
  <si>
    <t>1000004055-01</t>
  </si>
  <si>
    <t>SİSTRONİK ÖZBEKİSTAN</t>
  </si>
  <si>
    <t>1000004055-02</t>
  </si>
  <si>
    <t>2000003259-02</t>
  </si>
  <si>
    <t>MOROCCO PROJECT ÜST MONTAJ</t>
  </si>
  <si>
    <t>1000004055-04</t>
  </si>
  <si>
    <t>M20X230-DIN931-6.8-STD-SDG-PR</t>
  </si>
  <si>
    <t>1000004021-02</t>
  </si>
  <si>
    <t>CONGO- KASUMBALESA</t>
  </si>
  <si>
    <t>IMEDEXSA</t>
  </si>
  <si>
    <t xml:space="preserve">TEİAŞ </t>
  </si>
  <si>
    <t xml:space="preserve">ÇEPAŞ </t>
  </si>
  <si>
    <t>M27X175-STATNETT-8.8-521.15-SDG-PR</t>
  </si>
  <si>
    <t>M27X320-STATNETT-8.8-540.41-SDG-PR</t>
  </si>
  <si>
    <t>8000018817-02</t>
  </si>
  <si>
    <t>4500296347-pol</t>
  </si>
  <si>
    <t>M36X190-STATNETT-8.8-526.17-SDG-PR</t>
  </si>
  <si>
    <t>M36X195-STATNETT-8.8-526.18-SDG-PR</t>
  </si>
  <si>
    <t>M39X190-STATNETT-8.8-531.17-SDG-PR</t>
  </si>
  <si>
    <t>M39X210-STATNETT-8.8-531.21-SDG-PR</t>
  </si>
  <si>
    <t>M39X215-STATNETT-8.8-531.22-SDG-PR</t>
  </si>
  <si>
    <t>M16X300-15048_ISO4014-8.8-STD-SDG-PR</t>
  </si>
  <si>
    <t>1000004035-03</t>
  </si>
  <si>
    <t>NYAB Aurora Line</t>
  </si>
  <si>
    <t>1000004004-03</t>
  </si>
  <si>
    <t>1000003987-05</t>
  </si>
  <si>
    <t>NORVEÇ NETTPARTNER</t>
  </si>
  <si>
    <t>1000003987-07</t>
  </si>
  <si>
    <t>NORWAY NETTPARTNER</t>
  </si>
  <si>
    <t>1000003860-YB17</t>
  </si>
  <si>
    <t>1000003860-YB13</t>
  </si>
  <si>
    <t>M24X250-EKRSM-5.6-TENNET_T1_250-SDG-PR</t>
  </si>
  <si>
    <t>1000003866-YB19</t>
  </si>
  <si>
    <t>M24X260-EKRSM-5.6-TENNET_T1_260-SDG-PR</t>
  </si>
  <si>
    <t>M27X290-EKRSM-5.6-TENNET_W_290-SDG-PR</t>
  </si>
  <si>
    <t>M24X220-EKRSM-5.6-STD-SDG-PR</t>
  </si>
  <si>
    <t>1000003921-YB07</t>
  </si>
  <si>
    <t>1000004035-01</t>
  </si>
  <si>
    <t>4500295421-400kV Aurora lin-hammdde</t>
  </si>
  <si>
    <t>M30X117-ISO4014-8.8-SK_DEL_EKRSM-SDG-PR</t>
  </si>
  <si>
    <t>1000003914-04</t>
  </si>
  <si>
    <t>NCC -LOT 4</t>
  </si>
  <si>
    <t>1000003691-14</t>
  </si>
  <si>
    <t>HM STUB</t>
  </si>
  <si>
    <t>M42X213-DIN48073-8.8-EKRSM-SDG-PR</t>
  </si>
  <si>
    <t>M39X88-DIN48073-8.8-EKRSM-SDG-PR</t>
  </si>
  <si>
    <t>M22X1.5X91-DIN48073-8.8-EKRSM-SDG-PR</t>
  </si>
  <si>
    <t>1000004001-01</t>
  </si>
  <si>
    <t>IZOTEKA UAB</t>
  </si>
  <si>
    <t>Q16X429-UBOLT-S355J2-STATNETT-SDG-PR</t>
  </si>
  <si>
    <t>Q28X1000-UBOLT-S355J2-STATNETT-SYH-PR</t>
  </si>
  <si>
    <t>Q36X1196-UBOLT-S355J2-STD-SYH-PR</t>
  </si>
  <si>
    <t>M16X500-SONSUZ-8.8-STD-SDG-PR</t>
  </si>
  <si>
    <t>M16X370-SONSUZ-8.8-STD-SDG-PR</t>
  </si>
  <si>
    <t>M16X430-SONSUZ-8.8-STD-SDG-PR</t>
  </si>
  <si>
    <t>M12X432-SANKRAJ-5.8-STD-SDG-PR</t>
  </si>
  <si>
    <t>8000018808-01</t>
  </si>
  <si>
    <t>4500297638-BU1627 Novonir Grup SRL</t>
  </si>
  <si>
    <t>M12X425-OZEL-5.8-MANIA-SDG-PR</t>
  </si>
  <si>
    <t>M10X235-MANIA-5.8-STD-SDG-PR</t>
  </si>
  <si>
    <t>1000004031-03</t>
  </si>
  <si>
    <t>1000004031-05</t>
  </si>
  <si>
    <t>Q63X28-BURC-S355J2-STATNETT-SYH-PR</t>
  </si>
  <si>
    <t>Q63X90-BURC-S355J2-STATNETT-SYH-PR</t>
  </si>
  <si>
    <t>Q80X239-BURC-S355J2-STATNETT-SYH-PR</t>
  </si>
  <si>
    <t>Q17X40-BURC-S235JR-STD-SYH-PR</t>
  </si>
  <si>
    <t>2000003273-02</t>
  </si>
  <si>
    <t>CAMUSAT</t>
  </si>
  <si>
    <t>Q20X174-BDEMIR-S355J2+N-STATNETT-SYH-PR</t>
  </si>
  <si>
    <t>Q28X1469-UBOLT-S355J2+N-STATNETT-SYH-PR</t>
  </si>
  <si>
    <t>Q22X225-MIL-S355J0-STD-SYH-PR</t>
  </si>
  <si>
    <t>4500295422-400kV Aurora lin-KYNK</t>
  </si>
  <si>
    <t>Q20X240-STEPBOLT-S355J2-EKRSM-SDG-PR</t>
  </si>
  <si>
    <t>Q20X535-DKUYRUGU-S355J2-EKRSM-SDG-PR</t>
  </si>
  <si>
    <t>Q20X216-BDEMIR-S355J2-EKRSM-SYH-PR</t>
  </si>
  <si>
    <t>4500298462-400kV - V403 Etap 1 &amp; 3</t>
  </si>
  <si>
    <t>1000003909-25</t>
  </si>
  <si>
    <t>Q20X545-DKUYRUGU-S355J2-EKRSM-SDG-PR</t>
  </si>
  <si>
    <t>M20X250-STEPBOLT-S355J2-EKRSM-SDG-PR</t>
  </si>
  <si>
    <t>AZK ENERJI 2.SEVKİYAT</t>
  </si>
  <si>
    <t xml:space="preserve">RESA YAPI ELEKTROMEKANİK </t>
  </si>
  <si>
    <t>1000003983-08</t>
  </si>
  <si>
    <t>1000003987-TZ06</t>
  </si>
  <si>
    <t>8000018811-01</t>
  </si>
  <si>
    <t>4500298243-BU1468 Power Electric SR</t>
  </si>
  <si>
    <t>1000003777-PS516</t>
  </si>
  <si>
    <t>SISTRONIK-ÖZBEKISTAN</t>
  </si>
  <si>
    <t>Proizvodnja MK d.o.o</t>
  </si>
  <si>
    <t>1000004030-01</t>
  </si>
  <si>
    <t xml:space="preserve">KHAIRAT ARAFA COMPANY </t>
  </si>
  <si>
    <t>5000001542-01</t>
  </si>
  <si>
    <t>İZMİR MİCHA ÇELİK KONSTRÜKSİYON</t>
  </si>
  <si>
    <t>1000003997-TZ03</t>
  </si>
  <si>
    <t>1000003997-TZ05</t>
  </si>
  <si>
    <t>5000001509-51</t>
  </si>
  <si>
    <t>ENA TEST İŞLERİ</t>
  </si>
  <si>
    <t>1000004028-03</t>
  </si>
  <si>
    <t>4500298577-DALEKOVOD SERİ</t>
  </si>
  <si>
    <t>1000003983-05</t>
  </si>
  <si>
    <t>Q30X21-BURC-5.8-STD-SDG-PR</t>
  </si>
  <si>
    <t>Q63X80-BURC-S355J2-STATNETT-SYH-PR</t>
  </si>
  <si>
    <t>Q63X85-BURC-S355J2-STATNETT-SYH-PR</t>
  </si>
  <si>
    <t>Q63X100-BURC-S355J2-STATNETT-SYH-PR</t>
  </si>
  <si>
    <t>Q65X90-BURC-S355J2-STATNETT-SYH-PR</t>
  </si>
  <si>
    <t>Q65X95-BURC-S355J2-STATNETT-SYH-PR</t>
  </si>
  <si>
    <t>Q65X85-BURC-S355J2-STATNETT-SYH-PR</t>
  </si>
  <si>
    <t>8000018833-TZ01</t>
  </si>
  <si>
    <t>4500296870-G-Tower PO 2023080901 Ca</t>
  </si>
  <si>
    <t>Q65X100-BURC-S355J2-STATNETT-SYH-PR</t>
  </si>
  <si>
    <t>Q20X47-PIM-S235JR-STD-SDG-PR</t>
  </si>
  <si>
    <t>8000018846-02</t>
  </si>
  <si>
    <t>4500298306-pol</t>
  </si>
  <si>
    <t>Q36X1487-UBOLT-S355J2-STD-SYH-PR</t>
  </si>
  <si>
    <t>64X90X22.5-MENTESE-42CRMO4-EKRSM-SYH-PR</t>
  </si>
  <si>
    <t>7000000549-01</t>
  </si>
  <si>
    <t>5000001509-22</t>
  </si>
  <si>
    <t>Q318X63-DISK-S355JR-EKRSM-SDG-PR</t>
  </si>
  <si>
    <t>8000018720-01</t>
  </si>
  <si>
    <t>4500291298-Tanzanya Pr. Kutu Profil</t>
  </si>
  <si>
    <t>M10X80-SONSUZ-6.8-STD-SDG-PR</t>
  </si>
  <si>
    <t>1000003990-TB05</t>
  </si>
  <si>
    <t>AEP-TEST DİREĞİ</t>
  </si>
  <si>
    <t>8000018831-01</t>
  </si>
  <si>
    <t>4500297618-Mercar Şantiye / MB7452</t>
  </si>
  <si>
    <t>8000018780-02</t>
  </si>
  <si>
    <t>4500298242-OA2872 KONYA OSB -KYNK</t>
  </si>
  <si>
    <t>SİSTRONİK ÖZBEKİSTAN-KAYNAKLI</t>
  </si>
  <si>
    <t>Verimlilik=</t>
  </si>
  <si>
    <t>Tezgah</t>
  </si>
  <si>
    <t>Haftalık İş Planı Yükü</t>
  </si>
  <si>
    <t>Çap Dönüşü Sayısı</t>
  </si>
  <si>
    <t>Çap Dönüş Süresi</t>
  </si>
  <si>
    <t>Tip Dönüşü</t>
  </si>
  <si>
    <t>Tip Dönüş Süresi</t>
  </si>
  <si>
    <t>Boy Değişim Sayısı</t>
  </si>
  <si>
    <t>Boy Değişim Süresi</t>
  </si>
  <si>
    <t>Haftalık Kapasite</t>
  </si>
  <si>
    <t>Kapasite Doluluk</t>
  </si>
  <si>
    <t>Sipariş No</t>
  </si>
  <si>
    <t>Planlanan Bitiş Tarihi</t>
  </si>
  <si>
    <t>ISIL İŞLEM DURUMU</t>
  </si>
  <si>
    <t>4068697PR</t>
  </si>
  <si>
    <t>M16X360-15048_ISO4014-8.8-SK-SDG-PR</t>
  </si>
  <si>
    <t>ISIL İŞLEM</t>
  </si>
  <si>
    <t>5003857PR</t>
  </si>
  <si>
    <t>Q12.5X50-BURC-S235JR-STD-SYH-PR</t>
  </si>
  <si>
    <t>4068640PR</t>
  </si>
  <si>
    <t>Q16X240-OZELCIVATA-S355J2-RSM/B100-SDG-P</t>
  </si>
  <si>
    <t>HAMMADDE ÇALIŞMASI</t>
  </si>
  <si>
    <t>FASON ISIL İŞLEM</t>
  </si>
  <si>
    <t>4066793PR</t>
  </si>
  <si>
    <t>İKAME TEYİT</t>
  </si>
  <si>
    <t>5003849PR</t>
  </si>
  <si>
    <t>170X90X80-SIKMAPABUCU-S355JR-EKRSM-SYH-P</t>
  </si>
  <si>
    <t>TEST MERKEZİNDEN MALZEME BEKLENİYOR</t>
  </si>
  <si>
    <t>5003855PR</t>
  </si>
  <si>
    <t>Q90X200-KONIKMIL-S235JR-EKRSM-SYH-PR</t>
  </si>
  <si>
    <t>5003378PR</t>
  </si>
  <si>
    <t>Q12X425-OZELMANIA-S275JR-STD-SDG-PR</t>
  </si>
  <si>
    <t>5003379PR</t>
  </si>
  <si>
    <t>Q10X250-MANIA-S275JR-STD-SDG-PR</t>
  </si>
  <si>
    <t>5000212PR</t>
  </si>
  <si>
    <t>M12X425-MANIA-5.8-STD-SDG-PR</t>
  </si>
  <si>
    <t>4067040PR</t>
  </si>
  <si>
    <t>Q16X25-EKRSM-8.8-STD-SDG-PR</t>
  </si>
  <si>
    <t>KESİM+DELİK</t>
  </si>
  <si>
    <t>ISLAHLI</t>
  </si>
  <si>
    <t>4063585PR</t>
  </si>
  <si>
    <t>M12X260-15048_ISO4014-8.8-STD-SDG-PR</t>
  </si>
  <si>
    <t>5002935PR</t>
  </si>
  <si>
    <t>M12X225-VBOLT-S235JR-STD-SDG-PR</t>
  </si>
  <si>
    <t>8000018803-01</t>
  </si>
  <si>
    <t>POLİGON</t>
  </si>
  <si>
    <t>4063559PR</t>
  </si>
  <si>
    <t>M24X280-DIN7990-5.8-VB=100MM-SDG-PR</t>
  </si>
  <si>
    <t>5000083PR</t>
  </si>
  <si>
    <t>5003412PR</t>
  </si>
  <si>
    <t>5003526PR</t>
  </si>
  <si>
    <t>5003736PR</t>
  </si>
  <si>
    <t>M12X253-UBOLT-S355JR-6G_EKRSM-SDG-PR</t>
  </si>
  <si>
    <t>6.09 İTİBARİ İLE GALVANİZE VERİLMEYE BAŞLANACAK</t>
  </si>
  <si>
    <t>5003740PR</t>
  </si>
  <si>
    <t>M12X365-UBOLT-S355JR-6G_EKRSM-SDG-PR</t>
  </si>
  <si>
    <t>5003738PR</t>
  </si>
  <si>
    <t>M12X330-UBOLT-S355JR-6G_EKRSM-SDG-PR</t>
  </si>
  <si>
    <t>5003737PR</t>
  </si>
  <si>
    <t>M12X291-UBOLT-S355JR-6G_EKRSM-SDG-PR</t>
  </si>
  <si>
    <t>5003741PR</t>
  </si>
  <si>
    <t>M12X384-UBOLT-S355JR-6G_EKRSM-SDG-PR</t>
  </si>
  <si>
    <t>5003743PR</t>
  </si>
  <si>
    <t>M12X426-UBOLT-S355JR-6G_EKRSM-SDG-PR</t>
  </si>
  <si>
    <t>5003739PR</t>
  </si>
  <si>
    <t>M12X356-UBOLT-S355JR-6G_EKRSM-SDG-PR</t>
  </si>
  <si>
    <t>5003735PR</t>
  </si>
  <si>
    <t>M12X191-UBOLT-S355JR-6G_EKRSM-SDG-PR</t>
  </si>
  <si>
    <t>5001561PR</t>
  </si>
  <si>
    <t>KAYNAĞA TESLİM TARİHİ</t>
  </si>
  <si>
    <t>5001562PR</t>
  </si>
  <si>
    <t>5003481PR</t>
  </si>
  <si>
    <t>5000156PR</t>
  </si>
  <si>
    <t>KAYNAK+FASON ISIL İŞLEM</t>
  </si>
  <si>
    <t>5000028PR</t>
  </si>
  <si>
    <t>5000030PR</t>
  </si>
  <si>
    <t>5000158PR</t>
  </si>
  <si>
    <t>5000159PR</t>
  </si>
  <si>
    <t>5000157PR</t>
  </si>
  <si>
    <t>5000160PR</t>
  </si>
  <si>
    <t>5000165PR</t>
  </si>
  <si>
    <t>5000162PR</t>
  </si>
  <si>
    <t>5000163PR</t>
  </si>
  <si>
    <t>5000386PR</t>
  </si>
  <si>
    <t>5000169PR</t>
  </si>
  <si>
    <t>5003841PR</t>
  </si>
  <si>
    <t>M12X301-UBOLT-5.8-B50-SDG-PR</t>
  </si>
  <si>
    <t>5003747PR</t>
  </si>
  <si>
    <t>M12X574-UBOLT-S355JR-6G_EKRSM-SDG-PR</t>
  </si>
  <si>
    <t>4067289PR</t>
  </si>
  <si>
    <t>M16X240-STEPBOLT-8.8-SK_VB=60MM-SDG-PR</t>
  </si>
  <si>
    <t>4068179PR</t>
  </si>
  <si>
    <t>5000895PR</t>
  </si>
  <si>
    <t>Q36X714-UBOLT-8.8-STD-SDG-PR</t>
  </si>
  <si>
    <t>5003759PR</t>
  </si>
  <si>
    <t>Q12X23-MIL-S355J0-STD-SYH-PR</t>
  </si>
  <si>
    <t>5003778PR</t>
  </si>
  <si>
    <t>M30X750-SAPLAMA-5.8-B180/180-SDG-PR</t>
  </si>
  <si>
    <t>5003779PR</t>
  </si>
  <si>
    <t>5003824PR</t>
  </si>
  <si>
    <t>Q80X150.5-BURC-S355J2+AR-STD-SYH-PR</t>
  </si>
  <si>
    <t>5003825PR</t>
  </si>
  <si>
    <t>Q80X143-BURC-S355J2+AR-STD-SYH-PR</t>
  </si>
  <si>
    <t>5003827PR</t>
  </si>
  <si>
    <t>M30X595-SAPLAMA-S355J2+AR-GREY-SYH-PR</t>
  </si>
  <si>
    <t>5003828PR</t>
  </si>
  <si>
    <t>M33X650-SAPLAMA-S355J2+AR-GREY-SYH-PR</t>
  </si>
  <si>
    <t>5003853PR</t>
  </si>
  <si>
    <t>Q80X140.5-BURC-S355J2+AR-STD-SYH-PR</t>
  </si>
  <si>
    <t>4065563PR</t>
  </si>
  <si>
    <t>5003483PR</t>
  </si>
  <si>
    <t>Q16X536-KAREUBOLT-S355J2-STD-SDG-PR</t>
  </si>
  <si>
    <t>4067837PR</t>
  </si>
  <si>
    <t>M39X275-ISO4014-8.8-EKRSM-SDG-PR</t>
  </si>
  <si>
    <t>4066125PR</t>
  </si>
  <si>
    <t>M39X315-EKRSM-8.8-STD-SDG-PR</t>
  </si>
  <si>
    <t>4065227PR</t>
  </si>
  <si>
    <t>Q20X275-STEPBOLT-S355J2-STD-SDG-PR</t>
  </si>
  <si>
    <t>5003437PR</t>
  </si>
  <si>
    <t>Q65X430-DISLIMIL-S355J2-EKRSM-SDG-PR</t>
  </si>
  <si>
    <t>4068383PR</t>
  </si>
  <si>
    <t>M39X150-ISO4014-8.8-RSM_DEL-SDG-PR</t>
  </si>
  <si>
    <t>5003519PR</t>
  </si>
  <si>
    <t>4002267PR</t>
  </si>
  <si>
    <t>5001477PR</t>
  </si>
  <si>
    <t>5000287PR</t>
  </si>
  <si>
    <t>M30X1227-LANKRAJ-6.8-STD-SDG-PR</t>
  </si>
  <si>
    <t>5003856PR</t>
  </si>
  <si>
    <t>M16X466-SANKRAJ-5.8-B110-SDG-PR</t>
  </si>
  <si>
    <t>4067399PR</t>
  </si>
  <si>
    <t>M36X160-EN14399_3-8.8-STD-SDG-PR</t>
  </si>
  <si>
    <t>4067400PR</t>
  </si>
  <si>
    <t>M36X180-EN14399_3-8.8-STD-SDG-PR</t>
  </si>
  <si>
    <t>4067604PR</t>
  </si>
  <si>
    <t>M36X150-15048_ISO4014-8.8-STD-SDG-PR</t>
  </si>
  <si>
    <t>4067907PR</t>
  </si>
  <si>
    <t>M48X360-ISO4014-8.8-EKRSM_DEL-SDG-PR</t>
  </si>
  <si>
    <t>4001295PR</t>
  </si>
  <si>
    <t>4006014PR</t>
  </si>
  <si>
    <t>5003662PR</t>
  </si>
  <si>
    <t>Q20X245-STEPBOLT-S355J2-EKRSM-SDG-PR</t>
  </si>
  <si>
    <t>5000149PR</t>
  </si>
  <si>
    <t>5003845PR</t>
  </si>
  <si>
    <t>M36X1200-SONSUZ-8.8-GREY-SDG-PR</t>
  </si>
  <si>
    <t>5000102PR</t>
  </si>
  <si>
    <t>5003840PR</t>
  </si>
  <si>
    <t>M36X1633-UBOLT-8.8-B410-SDG-PR</t>
  </si>
  <si>
    <t>5003496PR</t>
  </si>
  <si>
    <t>4068387PR</t>
  </si>
  <si>
    <t>4068388PR</t>
  </si>
  <si>
    <t>4068389PR</t>
  </si>
  <si>
    <t>4068621PR</t>
  </si>
  <si>
    <t>M16X230-15048_DIN7990-8.8-SK_RSM-SDG-PR</t>
  </si>
  <si>
    <t>4068657PR</t>
  </si>
  <si>
    <t>M33X120-DIN931-8.8-EKRSM-SDG-PR</t>
  </si>
  <si>
    <t>4068658PR</t>
  </si>
  <si>
    <t>M33X170-DIN931-8.8-EKRSM-SDG-PR</t>
  </si>
  <si>
    <t>4068659PR</t>
  </si>
  <si>
    <t>M42X380-DIN931-8.8-EKRSM-SDG-PR</t>
  </si>
  <si>
    <t>4068660PR</t>
  </si>
  <si>
    <t>M42X400-DIN931-8.8-EKRSM-SDG-PR</t>
  </si>
  <si>
    <t>4068656PR</t>
  </si>
  <si>
    <t>M33X110-DIN931-8.8-EKRSM-SDG-PR</t>
  </si>
  <si>
    <t>5001568PR</t>
  </si>
  <si>
    <t>Q100X450-FMIL-S355J2+N-STD-SDG-PR</t>
  </si>
  <si>
    <t>5001574PR</t>
  </si>
  <si>
    <t>Q16X512-UBOLT-S355J2-STATNETT-SDG-PR</t>
  </si>
  <si>
    <t>5003504PR</t>
  </si>
  <si>
    <t>Q100X490-PIMBOLT-S355J2-EKRSM-SDG-PR</t>
  </si>
  <si>
    <t>5003506PR</t>
  </si>
  <si>
    <t>Q60X450-PIMBOLT-S355J2-EKRSM-SDG-PR</t>
  </si>
  <si>
    <t>5000045PR</t>
  </si>
  <si>
    <t>5000044PR</t>
  </si>
  <si>
    <t>5000016PR</t>
  </si>
  <si>
    <t>5003488PR</t>
  </si>
  <si>
    <t>Q16X566-KAREUBOLT-S355J2-STD-SDG-PR</t>
  </si>
  <si>
    <t>5000043PR</t>
  </si>
  <si>
    <t>5000018PR</t>
  </si>
  <si>
    <t>Q16X481-UBOLT-S355J2-STATNETT-SDG-PR</t>
  </si>
  <si>
    <t>4067925PR</t>
  </si>
  <si>
    <t>M36X195-ISO4014-8.8-EKRSM-SDG-PR</t>
  </si>
  <si>
    <t>4067869PR</t>
  </si>
  <si>
    <t>M24X310-ISO4014-8.8-STATNETT-SDG-PR</t>
  </si>
  <si>
    <t>4067849PR</t>
  </si>
  <si>
    <t>M24X300-ISO4014-8.8-STATNETT-SDG-PR</t>
  </si>
  <si>
    <t>4066148PR</t>
  </si>
  <si>
    <t>M39X230-EKRSM-8.8-531.25-SDG-PR</t>
  </si>
  <si>
    <t>4066146PR</t>
  </si>
  <si>
    <t>M52X240-EKRSM-8.8-536.26-SDG-PR</t>
  </si>
  <si>
    <t>4066136PR</t>
  </si>
  <si>
    <t>M39X175-STATNETT-8.8-531.14-SDG-PR</t>
  </si>
  <si>
    <t>4066133PR</t>
  </si>
  <si>
    <t>M39X180-STATNETT-8.8-531.15-SDG-PR</t>
  </si>
  <si>
    <t>4066130PR</t>
  </si>
  <si>
    <t>M48X340-EKRSM-8.8-STD-SDG-PR</t>
  </si>
  <si>
    <t>4066129PR</t>
  </si>
  <si>
    <t>M39X375-EKRSM-8.8-A_TA_BSG39375-SDG-PR</t>
  </si>
  <si>
    <t>4066128PR</t>
  </si>
  <si>
    <t>M39X355-EKRSM-8.8-A_TA_BSG39355-SDG-PR</t>
  </si>
  <si>
    <t>4066127PR</t>
  </si>
  <si>
    <t>M39X345-EKRSM-8.8-STD-SDG-PR</t>
  </si>
  <si>
    <t>4066116PR</t>
  </si>
  <si>
    <t>M20X290-ISO4014-8.8-STATNETT-SDG-PR</t>
  </si>
  <si>
    <t>4066001PR</t>
  </si>
  <si>
    <t>M39X200-EKRSM-8.8-STATNETT_531.19-SDG-PR</t>
  </si>
  <si>
    <t>4065386PR</t>
  </si>
  <si>
    <t>M27X165-STATNETT-8.8-521.13-SDG-PR</t>
  </si>
  <si>
    <t>4004521PR</t>
  </si>
  <si>
    <t>4004520PR</t>
  </si>
  <si>
    <t>4004454PR</t>
  </si>
  <si>
    <t>4004453PR</t>
  </si>
  <si>
    <t>4003903PR</t>
  </si>
  <si>
    <t>4003870PR</t>
  </si>
  <si>
    <t>4068667PR</t>
  </si>
  <si>
    <t>M39X385-ISO4014-8.8-SS_EKRSM-SDG-PR</t>
  </si>
  <si>
    <t>4068666PR</t>
  </si>
  <si>
    <t>M39X365-ISO4014-8.8-SS_EKRSM-SDG-PR</t>
  </si>
  <si>
    <t>4004513PR</t>
  </si>
  <si>
    <t>4065385PR</t>
  </si>
  <si>
    <t>M52X235-STATNETT-8.8-536.25-SDG-PR</t>
  </si>
  <si>
    <t>4066000PR</t>
  </si>
  <si>
    <t>M36X200-EKRSM-8.8-STATNETT_526.19-SDG-PR</t>
  </si>
  <si>
    <t>4068651PR</t>
  </si>
  <si>
    <t>M24X330-ISO4014-8.8-STATNETT-SDG-PR</t>
  </si>
  <si>
    <t>4068652PR</t>
  </si>
  <si>
    <t>M24X350-ISO4014-8.8-STATNETT-SDG-PR</t>
  </si>
  <si>
    <t>4067839PR</t>
  </si>
  <si>
    <t>M48X280-ISO4014-8.8-EKRSM-SDG-PR</t>
  </si>
  <si>
    <t>4067835PR</t>
  </si>
  <si>
    <t>M20X270-ISO4014-8.8-STATNETT-SDG-PR</t>
  </si>
  <si>
    <t>5003505PR</t>
  </si>
  <si>
    <t>Q60X410-PIMBOLT-S355J2-EKRSM-SDG-PR</t>
  </si>
  <si>
    <t>5003833PR</t>
  </si>
  <si>
    <t>Q100X470-PINBOLT-S355J2+N-EKRSM-SDG-PR</t>
  </si>
  <si>
    <t>5003834PR</t>
  </si>
  <si>
    <t>Q60X470-PINBOLT-S355J2+N-EKRSM-SDG-PR</t>
  </si>
  <si>
    <t>5003836PR</t>
  </si>
  <si>
    <t>M16X200-SONSUZ-8.8-EKRSM-SDG-PR</t>
  </si>
  <si>
    <t>5003837PR</t>
  </si>
  <si>
    <t>M20X400-SONSUZ-8.8-EKRSM-SDG-PR</t>
  </si>
  <si>
    <t>5003838PR</t>
  </si>
  <si>
    <t>Q16X277-JBOLT-8.8-EKRSM-SDG-PR</t>
  </si>
  <si>
    <t>5001094PR</t>
  </si>
  <si>
    <t>Q25X101-PIM-S235JR-STD-SDG-PR</t>
  </si>
  <si>
    <t>4066508PR</t>
  </si>
  <si>
    <t>M30X141-EKRSM-8.8-H_3113612_2-SDG-PR</t>
  </si>
  <si>
    <t>5000894PR</t>
  </si>
  <si>
    <t>Q20X477-UBOLT-8.8-STD-SDG-PR</t>
  </si>
  <si>
    <t>5003781PR</t>
  </si>
  <si>
    <t>Q16X613-UBOLT-S355J2-B200-SDG-PR</t>
  </si>
  <si>
    <t>4068457PR</t>
  </si>
  <si>
    <t>M30X280-15048_ISO4014-8.8-EKRSM-SDG-PR</t>
  </si>
  <si>
    <t>4065611PR</t>
  </si>
  <si>
    <t>4065565PR</t>
  </si>
  <si>
    <t>4067758PR</t>
  </si>
  <si>
    <t>M16X175-STEPBOLT-4.6-EKRSM-SDG-PR</t>
  </si>
  <si>
    <t>5003497PR</t>
  </si>
  <si>
    <t>5000110PR</t>
  </si>
  <si>
    <t>4067690PR</t>
  </si>
  <si>
    <t>M39X300-ISO4014-8.8-EKRSM-SDG-PR</t>
  </si>
  <si>
    <t>5003495PR</t>
  </si>
  <si>
    <t>5003361PR</t>
  </si>
  <si>
    <t>5003283PR</t>
  </si>
  <si>
    <t>M30X180-EKRSM-S355J2-EL-M6-800-SDG-PR</t>
  </si>
  <si>
    <t>5002940PR</t>
  </si>
  <si>
    <t>M30X140-EKRSM-S355J2-STD-SDG-PR</t>
  </si>
  <si>
    <t>4066719PR</t>
  </si>
  <si>
    <t>M24X95-DIN7968-5.6-STD-SDG-PR</t>
  </si>
  <si>
    <t>5003599PR</t>
  </si>
  <si>
    <t>300X290X128-YATAK-S355J2-EKRSM-SDG-PR</t>
  </si>
  <si>
    <t>5003600PR</t>
  </si>
  <si>
    <t>5003585PR</t>
  </si>
  <si>
    <t>ROKETSAN</t>
  </si>
  <si>
    <t>5003586PR</t>
  </si>
  <si>
    <t>64X90X22-MENTESE-42CRMO4-EKRSM-SYH-PR</t>
  </si>
  <si>
    <t>5003587PR</t>
  </si>
  <si>
    <t>Q15X118-PIM-42CRMO4-RSM_DEL-SYH-PR</t>
  </si>
  <si>
    <t>5000086PR</t>
  </si>
  <si>
    <t>M20X583-SANKRAJ-5.8-STD-SDG-PR</t>
  </si>
  <si>
    <t>STOK</t>
  </si>
  <si>
    <t>5000085PR</t>
  </si>
  <si>
    <t>M16X466-SANKRAJ-5.8-STD-SDG-PR</t>
  </si>
  <si>
    <t>4066797PR</t>
  </si>
  <si>
    <t>M24X250-EKRSM-5.6-STD-SDG-PR</t>
  </si>
  <si>
    <t>4065898PR</t>
  </si>
  <si>
    <t>5000087PR</t>
  </si>
  <si>
    <t>M20X720-SANKRAJ-5.8-STD-SDG-PR</t>
  </si>
  <si>
    <t>3030116PR</t>
  </si>
  <si>
    <t>M20X18-EKRSM-S355J2-STD-SDG-PR</t>
  </si>
  <si>
    <t>POL-STOKN-M</t>
  </si>
  <si>
    <t>3030115PR</t>
  </si>
  <si>
    <t>M12X12-EKRSM-S355J2-STD-SDG-PR</t>
  </si>
  <si>
    <t>4065603PR</t>
  </si>
  <si>
    <t>M27X270-EKRSM-5.6-TENNET_W_270-SDG-PR</t>
  </si>
  <si>
    <t>4065605PR</t>
  </si>
  <si>
    <t>M27X250-EKRSM-5.6-TENNET_W_250-SDG-PR</t>
  </si>
  <si>
    <t>4065610PR</t>
  </si>
  <si>
    <t>M27X260-EKRSM-5.6-TENNET_W_260-SDG-PR</t>
  </si>
  <si>
    <t>4066787PR</t>
  </si>
  <si>
    <t>M24X270-EKRSM-5.6-STD-SDG-PR</t>
  </si>
  <si>
    <t>5000084PR</t>
  </si>
  <si>
    <t>M16X576-SANKRAJ-5.8-STD-SDG-PR</t>
  </si>
  <si>
    <t>5003674PR</t>
  </si>
  <si>
    <t>M24X400-SONSUZ-8.8-STD-SDG-PR</t>
  </si>
  <si>
    <t>5003798PR</t>
  </si>
  <si>
    <t>Q15.8X577.26-SAPLAMA-S235JR-B51.48-SDG-P</t>
  </si>
  <si>
    <t>4068509PR</t>
  </si>
  <si>
    <t>M36X160-EN14399_3-8.8-CE-SDG-PR</t>
  </si>
  <si>
    <t>5000107PR</t>
  </si>
  <si>
    <t>M10X250-MANIA-5.8-STD-SDG-PR</t>
  </si>
  <si>
    <t>5003411PR</t>
  </si>
  <si>
    <t>Q16X310-SAPLAMA-5.8-VB=50/50MM-SDG-PR</t>
  </si>
  <si>
    <t>5000089PR</t>
  </si>
  <si>
    <t>M24X864-SANKRAJ-5.8-STD-SDG-PR</t>
  </si>
  <si>
    <t>5003482PR</t>
  </si>
  <si>
    <t>M20X719-LANKRAJ-5.8-STD-SDG-PR</t>
  </si>
  <si>
    <t>5001663PR</t>
  </si>
  <si>
    <t>Q50X100-BURC-S235JR-STD-SDG-PR</t>
  </si>
  <si>
    <t>Birim Ağılrık (gr)</t>
  </si>
  <si>
    <t>Ağırlık (kg)</t>
  </si>
  <si>
    <t>2015524PR</t>
  </si>
  <si>
    <t>M10-ISO7089-300HV-STD-SDG-PR</t>
  </si>
  <si>
    <t>2015525PR</t>
  </si>
  <si>
    <t>M12-ISO7089-300HV-STD-SDG-PR</t>
  </si>
  <si>
    <t>2015526PR</t>
  </si>
  <si>
    <t>M14-ISO7089-300HV-STD-SDG-PR</t>
  </si>
  <si>
    <t>2015529PR</t>
  </si>
  <si>
    <t>M20-ISO7089-300HV-STD-SDG-PR</t>
  </si>
  <si>
    <t>2015530PR</t>
  </si>
  <si>
    <t>M22-ISO7089-300HV-STD-SDG-PR</t>
  </si>
  <si>
    <t>2015531PR</t>
  </si>
  <si>
    <t>M24-ISO7089-300HV-STD-SDG-PR</t>
  </si>
  <si>
    <t>2015533PR</t>
  </si>
  <si>
    <t>M30-ISO7089-300HV-STD-SDG-PR</t>
  </si>
  <si>
    <t>2015535PR</t>
  </si>
  <si>
    <t>M36-ISO7089-300HV-STD-SDG-PR</t>
  </si>
  <si>
    <t>2015697PR</t>
  </si>
  <si>
    <t>M12-EN14399_6-300HV-STD-SDG-PR</t>
  </si>
  <si>
    <t>2015699PR</t>
  </si>
  <si>
    <t>M16-EN14399_6-300HV-STD-SDG-PR</t>
  </si>
  <si>
    <t>2015707PR</t>
  </si>
  <si>
    <t>M36-EN14399_6-300HV-STD-SDG-PR</t>
  </si>
  <si>
    <t>2018761PR</t>
  </si>
  <si>
    <t>M16-DIN7989-200HV-STD-SDG-PR</t>
  </si>
  <si>
    <t>2018762PR</t>
  </si>
  <si>
    <t>M24-DIN7989-200HV-STD-SDG-PR</t>
  </si>
  <si>
    <t>2020119PR</t>
  </si>
  <si>
    <t>M36-DIN7989-200HV-STD-SDG-PR</t>
  </si>
  <si>
    <t>2020880PR</t>
  </si>
  <si>
    <t>M20-DIN7989-200HV-STD-SDG-PR</t>
  </si>
  <si>
    <t>2021994PR</t>
  </si>
  <si>
    <t>M12-ISO7090-300HV-STD-SDG-PR</t>
  </si>
  <si>
    <t>2116203PR</t>
  </si>
  <si>
    <t>M12-DIN127-S.STEEL-STD-SDG-PR</t>
  </si>
  <si>
    <t>2116205PR</t>
  </si>
  <si>
    <t>M16-DIN127-S.STEEL-STD-SDG-PR</t>
  </si>
  <si>
    <t>2116207PR</t>
  </si>
  <si>
    <t>M20-DIN127-S.STEEL-STD-SDG-PR</t>
  </si>
  <si>
    <t>2116209PR</t>
  </si>
  <si>
    <t>M24-DIN127-S.STEEL-STD-SDG-PR</t>
  </si>
  <si>
    <t>2116262PR</t>
  </si>
  <si>
    <t>M24-DIN128-S.STEEL-STD-SDG-PR</t>
  </si>
  <si>
    <t>2116308PR</t>
  </si>
  <si>
    <t>7/8"-SPRING_B18.21.1-S.STEEL-STD-SDG-PR</t>
  </si>
  <si>
    <t>2116311PR</t>
  </si>
  <si>
    <t>3/4"-HSPRING_B18.21.1-S.STEEL-STD-SDG-PR</t>
  </si>
  <si>
    <t>2123153PR</t>
  </si>
  <si>
    <t>M18-ISO7089-300HV-STD-SDG-PR</t>
  </si>
  <si>
    <t>2124237PR</t>
  </si>
  <si>
    <t>M39-DIN7989-200HV-STD-SDG-PR</t>
  </si>
  <si>
    <t>2124468PR</t>
  </si>
  <si>
    <t>M12-DIN7989-200HV-EKUDDEN_7MM-SDG-PR</t>
  </si>
  <si>
    <t>2124481PR</t>
  </si>
  <si>
    <t>M24-DIN7989-200HV-EKUDDEN_7MM-SDG-PR</t>
  </si>
  <si>
    <t>2124655PR</t>
  </si>
  <si>
    <t>M12-DIN434-250HV-STD-SDG-PR</t>
  </si>
  <si>
    <t>2124808PR</t>
  </si>
  <si>
    <t>5/8"-F436-300HV-CLIPPED-SDG-PR</t>
  </si>
  <si>
    <t>2124851PR</t>
  </si>
  <si>
    <t>37X21X7-OZELRONDELA-200HV-STD-SDG-PR</t>
  </si>
  <si>
    <t>2124852PR</t>
  </si>
  <si>
    <t>44X25X7-OZELRONDELA-200HV-STD-SDG-PR</t>
  </si>
  <si>
    <t>2124853PR</t>
  </si>
  <si>
    <t>37X21X5-OZELRONDELA-200HV-STD-SDG-PR</t>
  </si>
  <si>
    <t>2124855PR</t>
  </si>
  <si>
    <t>37X21X12-OZELRONDELA-200HV-STD-SDG-PR</t>
  </si>
  <si>
    <t>2124858PR</t>
  </si>
  <si>
    <t>37X21X10-OZELRONDELA-200HV-STD-SDG-PR</t>
  </si>
  <si>
    <t>2124860PR</t>
  </si>
  <si>
    <t>30X17X12-OZELRONDELA-200HV-STD-SDG-PR</t>
  </si>
  <si>
    <t>2124866PR</t>
  </si>
  <si>
    <t>30X17X15-OZELRONDELA-200HV-STD-SDG-PR</t>
  </si>
  <si>
    <t>2124867PR</t>
  </si>
  <si>
    <t>30X17X8-OZELRONDELA-200HV-STD-SDG-PR</t>
  </si>
  <si>
    <t>2124870PR</t>
  </si>
  <si>
    <t>M48-DIN125A-200HV-SK-SDG-PR</t>
  </si>
  <si>
    <t>2124942PR</t>
  </si>
  <si>
    <t>M16-DIN7989-200HV-H=7MM-SDG-PR</t>
  </si>
  <si>
    <t>2124992PR</t>
  </si>
  <si>
    <t>M20-DIN436-200HV-H=6MM-SDG-PR</t>
  </si>
  <si>
    <t>2124993PR</t>
  </si>
  <si>
    <t>M20-DIN436-200HV-H=10MM-SDG-PR</t>
  </si>
  <si>
    <t>2125037PR</t>
  </si>
  <si>
    <t>Q24X13X7-OZELRONDELA-200HV-STD-SDG-PR</t>
  </si>
  <si>
    <t>2125040PR</t>
  </si>
  <si>
    <t>Q37X21X7-OZELRONDELA-200HV-STD-SDG-PR</t>
  </si>
  <si>
    <t>2125066PR</t>
  </si>
  <si>
    <t>M20-DIN6340-200HV-STD-SDG-PR</t>
  </si>
  <si>
    <t>2125129PR</t>
  </si>
  <si>
    <t>M12-ISO7093-300HV-STD-SDG-PR</t>
  </si>
  <si>
    <t>2125130PR</t>
  </si>
  <si>
    <t>M12-ISO7089-200HV-CE-SDG-PR</t>
  </si>
  <si>
    <t>2125132PR</t>
  </si>
  <si>
    <t>M16-EN14399-6-300HV-CE-SDG-PR</t>
  </si>
  <si>
    <t>2125135PR</t>
  </si>
  <si>
    <t>M27-EN14399-6-300HV-CE-SDG-PR</t>
  </si>
  <si>
    <t>3003032PR</t>
  </si>
  <si>
    <t>M18-15048_ISO4032-8-STD-SDG-PR</t>
  </si>
  <si>
    <t>3014711PR</t>
  </si>
  <si>
    <t>M20-A563M-GR10S-STD-SDG-PR</t>
  </si>
  <si>
    <t>3014714PR</t>
  </si>
  <si>
    <t>M27-A563M-GR10S-STD-SDG-PR</t>
  </si>
  <si>
    <t>3014792PR</t>
  </si>
  <si>
    <t>7/8"-A563-GRDH-STD-SDG-PR</t>
  </si>
  <si>
    <t>3014959PR</t>
  </si>
  <si>
    <t>M36-DIN934-8-STD-SDG-PR</t>
  </si>
  <si>
    <t>3014973PR</t>
  </si>
  <si>
    <t>M8-DIN934-8-STD-SDG-PR</t>
  </si>
  <si>
    <t>3014985PR</t>
  </si>
  <si>
    <t>M30-DIN934-10-STD-SDG-PR</t>
  </si>
  <si>
    <t>3015119PR</t>
  </si>
  <si>
    <t>M8-ISO4032-8-STD-SDG-PR</t>
  </si>
  <si>
    <t>3015200PR</t>
  </si>
  <si>
    <t>M24-EN14399_4-10-STD-SDG-PR</t>
  </si>
  <si>
    <t>3015218PR</t>
  </si>
  <si>
    <t>M22-EN14399_3-10-STD-SDG-PR</t>
  </si>
  <si>
    <t>3015222PR</t>
  </si>
  <si>
    <t>M27-EN14399_3-10-STD-SDG-PR</t>
  </si>
  <si>
    <t>3016696PR</t>
  </si>
  <si>
    <t>M27-15048_ISO4032-8-STD-SDG-PR</t>
  </si>
  <si>
    <t>3016697PR</t>
  </si>
  <si>
    <t>M30-15048_ISO4032-8-STD-SDG-PR</t>
  </si>
  <si>
    <t>3020949PR</t>
  </si>
  <si>
    <t>7/8"-A563-GRA-STD-SDG-PR</t>
  </si>
  <si>
    <t>3021436PR</t>
  </si>
  <si>
    <t>M10-15048_ISO4032-8-STD-SDG-PR</t>
  </si>
  <si>
    <t>3030228PR</t>
  </si>
  <si>
    <t>M24-EN14399_4-10-VDFN-SDG-PR</t>
  </si>
  <si>
    <t>3030284PR</t>
  </si>
  <si>
    <t>M18-EN14399_3-10-STD-SYH-PR</t>
  </si>
  <si>
    <t>3030285PR</t>
  </si>
  <si>
    <t>1/2"-H.HEX_A563-GRDH-STD-SDG-PR</t>
  </si>
  <si>
    <t>3030327PR</t>
  </si>
  <si>
    <t>M18-EN14399_3-8-STD-SDG-PR</t>
  </si>
  <si>
    <t>3030378PR</t>
  </si>
  <si>
    <t>M24-DIN980V-8-STD-SDG -PR</t>
  </si>
  <si>
    <t>3030398PR</t>
  </si>
  <si>
    <t>M14-EN14399_3-8-STD-SDG-PR</t>
  </si>
  <si>
    <t>3030407PR</t>
  </si>
  <si>
    <t>M36-EN14399-3-8-CE-SDG-PR</t>
  </si>
  <si>
    <t>4067657PR</t>
  </si>
  <si>
    <t>M36X220-EN14399_4-10.9-STD-SDG-PR</t>
  </si>
  <si>
    <t>4068340PR</t>
  </si>
  <si>
    <t>M16X420-ISO4014-8.8-CEPAS(CE)-SDG-PR</t>
  </si>
  <si>
    <t>OVALAMA+DELİK</t>
  </si>
  <si>
    <t>DELİK</t>
  </si>
  <si>
    <t>PR</t>
  </si>
  <si>
    <t>MKNK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</si>
</sst>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0"/>
    <numFmt numFmtId="166" formatCode="#,##0.0000"/>
    <numFmt numFmtId="167" formatCode="0.0%"/>
  </numFmts>
  <fonts count="5" x14ac:knownFonts="1">
    <font>
      <sz val="10"/>
      <name val="Arial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 applyAlignment="1">
      <alignment vertical="top"/>
    </xf>
    <xf numFmtId="0" fontId="1" fillId="0" borderId="2" xfId="0" applyFont="1" applyBorder="1"/>
    <xf numFmtId="0" fontId="2" fillId="2" borderId="1" xfId="0" applyFont="1" applyFill="1" applyBorder="1" applyAlignment="1">
      <alignment vertical="top"/>
    </xf>
    <xf numFmtId="3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166" fontId="2" fillId="2" borderId="1" xfId="0" applyNumberFormat="1" applyFont="1" applyFill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14" fontId="3" fillId="0" borderId="1" xfId="0" quotePrefix="1" applyNumberFormat="1" applyFont="1" applyBorder="1" applyAlignment="1">
      <alignment horizontal="right" vertical="top"/>
    </xf>
    <xf numFmtId="14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0" borderId="0" xfId="0" applyNumberFormat="1" applyAlignment="1">
      <alignment horizontal="right" vertical="top"/>
    </xf>
    <xf numFmtId="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0" fontId="4" fillId="0" borderId="1" xfId="0" applyFont="1" applyBorder="1" applyAlignment="1">
      <alignment vertical="top"/>
    </xf>
    <xf numFmtId="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4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center" vertical="top"/>
    </xf>
    <xf numFmtId="167" fontId="0" fillId="0" borderId="1" xfId="1" applyNumberFormat="1" applyFont="1" applyBorder="1" applyAlignment="1">
      <alignment horizontal="center" vertical="top"/>
    </xf>
    <xf numFmtId="4" fontId="0" fillId="0" borderId="0" xfId="0" applyNumberFormat="1" applyAlignment="1">
      <alignment vertical="top"/>
    </xf>
    <xf numFmtId="14" fontId="2" fillId="2" borderId="1" xfId="0" applyNumberFormat="1" applyFont="1" applyFill="1" applyBorder="1"/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right" vertical="top"/>
    </xf>
    <xf numFmtId="0" fontId="2" fillId="2" borderId="1" xfId="0" applyFont="1" applyFill="1" applyBorder="1"/>
    <xf numFmtId="0" fontId="1" fillId="0" borderId="0" xfId="0" applyFont="1"/>
    <xf numFmtId="3" fontId="0" fillId="0" borderId="0" xfId="0" applyNumberForma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 applyAlignment="1">
      <alignment vertical="top"/>
    </xf>
    <xf numFmtId="14" fontId="3" fillId="3" borderId="1" xfId="0" applyNumberFormat="1" applyFon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horizontal="left" vertical="top"/>
    </xf>
    <xf numFmtId="164" fontId="0" fillId="3" borderId="1" xfId="0" applyNumberFormat="1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right" vertical="top"/>
    </xf>
  </cellXfs>
  <cellStyles count="2">
    <cellStyle name="Normal" xfId="0" builtinId="0"/>
    <cellStyle name="Percent 2" xfId="1" xr:uid="{4DF6B139-4F47-4002-8FA3-4CFA914FD8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3CD5-7A75-4830-BA30-A07AFF0D12B8}">
  <dimension ref="A1:M108"/>
  <sheetViews>
    <sheetView tabSelected="1" topLeftCell="A73" zoomScale="115" zoomScaleNormal="115" workbookViewId="0">
      <selection activeCell="M99" sqref="M99"/>
    </sheetView>
  </sheetViews>
  <sheetFormatPr defaultRowHeight="12.75" x14ac:dyDescent="0.2"/>
  <cols>
    <col min="1" max="1" width="10.42578125" bestFit="1" customWidth="1"/>
    <col min="2" max="2" width="43" bestFit="1" customWidth="1"/>
    <col min="3" max="3" width="8.85546875" customWidth="1"/>
    <col min="4" max="4" width="14.5703125" customWidth="1"/>
    <col min="5" max="5" width="16.42578125" customWidth="1"/>
    <col min="6" max="6" width="38.28515625" customWidth="1"/>
    <col min="7" max="7" width="10.7109375" customWidth="1"/>
    <col min="8" max="8" width="8.85546875" style="21"/>
    <col min="13" max="13" width="28.28515625" bestFit="1" customWidth="1"/>
  </cols>
  <sheetData>
    <row r="1" spans="1:13" x14ac:dyDescent="0.2">
      <c r="A1" s="2" t="s">
        <v>459</v>
      </c>
      <c r="B1" s="2" t="s">
        <v>460</v>
      </c>
      <c r="C1" s="3" t="s">
        <v>462</v>
      </c>
      <c r="D1" s="4" t="s">
        <v>463</v>
      </c>
      <c r="E1" s="3" t="s">
        <v>464</v>
      </c>
      <c r="F1" s="3" t="s">
        <v>465</v>
      </c>
      <c r="G1" s="5" t="s">
        <v>466</v>
      </c>
      <c r="H1" s="20" t="s">
        <v>467</v>
      </c>
      <c r="I1" s="6" t="s">
        <v>461</v>
      </c>
      <c r="J1" s="3" t="s">
        <v>468</v>
      </c>
      <c r="K1" s="7" t="s">
        <v>469</v>
      </c>
      <c r="L1" s="8" t="s">
        <v>470</v>
      </c>
      <c r="M1" s="8" t="s">
        <v>471</v>
      </c>
    </row>
    <row r="2" spans="1:13" x14ac:dyDescent="0.2">
      <c r="A2" s="1" t="s">
        <v>89</v>
      </c>
      <c r="B2" t="s">
        <v>90</v>
      </c>
      <c r="C2">
        <v>2500</v>
      </c>
      <c r="D2">
        <v>3200001140</v>
      </c>
      <c r="E2" t="s">
        <v>472</v>
      </c>
      <c r="F2" t="s">
        <v>474</v>
      </c>
      <c r="G2" s="18">
        <v>45173</v>
      </c>
      <c r="H2" s="21">
        <v>415</v>
      </c>
      <c r="I2">
        <v>2</v>
      </c>
      <c r="J2">
        <v>120</v>
      </c>
      <c r="K2">
        <f>1/J2</f>
        <v>8.3333333333333332E-3</v>
      </c>
      <c r="L2">
        <f>K2*C2</f>
        <v>20.833333333333332</v>
      </c>
    </row>
    <row r="3" spans="1:13" x14ac:dyDescent="0.2">
      <c r="A3" s="1" t="s">
        <v>453</v>
      </c>
      <c r="B3" t="s">
        <v>454</v>
      </c>
      <c r="C3">
        <v>2604</v>
      </c>
      <c r="D3">
        <v>3100021639</v>
      </c>
      <c r="E3" t="s">
        <v>640</v>
      </c>
      <c r="F3" t="s">
        <v>641</v>
      </c>
      <c r="G3" s="18">
        <v>45183</v>
      </c>
      <c r="H3" s="21">
        <v>415</v>
      </c>
      <c r="I3">
        <v>2</v>
      </c>
      <c r="J3">
        <v>120</v>
      </c>
      <c r="K3">
        <f t="shared" ref="K3:K54" si="0">1/J3</f>
        <v>8.3333333333333332E-3</v>
      </c>
      <c r="L3">
        <f t="shared" ref="L3:L54" si="1">K3*C3</f>
        <v>21.7</v>
      </c>
    </row>
    <row r="4" spans="1:13" x14ac:dyDescent="0.2">
      <c r="A4" s="1" t="s">
        <v>451</v>
      </c>
      <c r="B4" t="s">
        <v>452</v>
      </c>
      <c r="C4">
        <v>2361</v>
      </c>
      <c r="D4">
        <v>3100021639</v>
      </c>
      <c r="E4" t="s">
        <v>640</v>
      </c>
      <c r="F4" t="s">
        <v>641</v>
      </c>
      <c r="G4" s="18">
        <v>45183</v>
      </c>
      <c r="H4" s="21">
        <v>415</v>
      </c>
      <c r="I4">
        <v>2</v>
      </c>
      <c r="J4">
        <v>120</v>
      </c>
      <c r="K4">
        <f t="shared" si="0"/>
        <v>8.3333333333333332E-3</v>
      </c>
      <c r="L4">
        <f t="shared" si="1"/>
        <v>19.675000000000001</v>
      </c>
    </row>
    <row r="5" spans="1:13" x14ac:dyDescent="0.2">
      <c r="A5" s="1" t="s">
        <v>449</v>
      </c>
      <c r="B5" t="s">
        <v>450</v>
      </c>
      <c r="C5">
        <v>139</v>
      </c>
      <c r="D5">
        <v>3100021639</v>
      </c>
      <c r="E5" t="s">
        <v>640</v>
      </c>
      <c r="F5" t="s">
        <v>641</v>
      </c>
      <c r="G5" s="18">
        <v>45183</v>
      </c>
      <c r="H5" s="21">
        <v>415</v>
      </c>
      <c r="I5">
        <v>2</v>
      </c>
      <c r="J5">
        <v>120</v>
      </c>
      <c r="K5">
        <f t="shared" si="0"/>
        <v>8.3333333333333332E-3</v>
      </c>
      <c r="L5">
        <f t="shared" si="1"/>
        <v>1.1583333333333332</v>
      </c>
    </row>
    <row r="6" spans="1:13" x14ac:dyDescent="0.2">
      <c r="A6" s="1" t="s">
        <v>447</v>
      </c>
      <c r="B6" t="s">
        <v>448</v>
      </c>
      <c r="C6">
        <v>139</v>
      </c>
      <c r="D6">
        <v>3100021639</v>
      </c>
      <c r="E6" t="s">
        <v>640</v>
      </c>
      <c r="F6" t="s">
        <v>641</v>
      </c>
      <c r="G6" s="18">
        <v>45183</v>
      </c>
      <c r="H6" s="21">
        <v>415</v>
      </c>
      <c r="I6">
        <v>2</v>
      </c>
      <c r="J6">
        <v>120</v>
      </c>
      <c r="K6">
        <f t="shared" si="0"/>
        <v>8.3333333333333332E-3</v>
      </c>
      <c r="L6">
        <f t="shared" si="1"/>
        <v>1.1583333333333332</v>
      </c>
    </row>
    <row r="7" spans="1:13" x14ac:dyDescent="0.2">
      <c r="A7" s="1" t="s">
        <v>289</v>
      </c>
      <c r="B7" t="s">
        <v>290</v>
      </c>
      <c r="C7">
        <v>10000</v>
      </c>
      <c r="D7">
        <v>3100021542</v>
      </c>
      <c r="E7" t="s">
        <v>472</v>
      </c>
      <c r="F7" t="s">
        <v>479</v>
      </c>
      <c r="G7" s="18">
        <v>45188</v>
      </c>
      <c r="H7" s="21">
        <v>415</v>
      </c>
      <c r="I7">
        <v>2</v>
      </c>
      <c r="J7">
        <v>110</v>
      </c>
      <c r="K7">
        <f t="shared" si="0"/>
        <v>9.0909090909090905E-3</v>
      </c>
      <c r="L7">
        <f t="shared" si="1"/>
        <v>90.909090909090907</v>
      </c>
    </row>
    <row r="8" spans="1:13" x14ac:dyDescent="0.2">
      <c r="A8" s="1" t="s">
        <v>75</v>
      </c>
      <c r="B8" t="s">
        <v>76</v>
      </c>
      <c r="C8">
        <v>1200</v>
      </c>
      <c r="D8">
        <v>3100021553</v>
      </c>
      <c r="E8" t="s">
        <v>495</v>
      </c>
      <c r="F8" t="s">
        <v>496</v>
      </c>
      <c r="G8" s="18">
        <v>45209</v>
      </c>
      <c r="H8" s="21">
        <v>415</v>
      </c>
      <c r="I8">
        <v>2</v>
      </c>
      <c r="J8">
        <v>120</v>
      </c>
      <c r="K8">
        <f t="shared" si="0"/>
        <v>8.3333333333333332E-3</v>
      </c>
      <c r="L8">
        <f t="shared" si="1"/>
        <v>10</v>
      </c>
    </row>
    <row r="9" spans="1:13" x14ac:dyDescent="0.2">
      <c r="A9" s="1" t="s">
        <v>243</v>
      </c>
      <c r="B9" t="s">
        <v>244</v>
      </c>
      <c r="C9">
        <v>8500</v>
      </c>
      <c r="D9">
        <v>3100021506</v>
      </c>
      <c r="E9" t="s">
        <v>475</v>
      </c>
      <c r="F9" t="s">
        <v>476</v>
      </c>
      <c r="G9" s="18">
        <v>45212</v>
      </c>
      <c r="H9" s="21">
        <v>415</v>
      </c>
      <c r="I9">
        <v>2</v>
      </c>
      <c r="J9">
        <v>120</v>
      </c>
      <c r="K9">
        <f t="shared" si="0"/>
        <v>8.3333333333333332E-3</v>
      </c>
      <c r="L9">
        <f t="shared" si="1"/>
        <v>70.833333333333329</v>
      </c>
    </row>
    <row r="10" spans="1:13" x14ac:dyDescent="0.2">
      <c r="A10" s="1" t="s">
        <v>257</v>
      </c>
      <c r="B10" t="s">
        <v>258</v>
      </c>
      <c r="C10">
        <v>82000</v>
      </c>
      <c r="D10">
        <v>3100021506</v>
      </c>
      <c r="E10" t="s">
        <v>475</v>
      </c>
      <c r="F10" t="s">
        <v>476</v>
      </c>
      <c r="G10" s="18">
        <v>45212</v>
      </c>
      <c r="H10" s="21">
        <v>415</v>
      </c>
      <c r="I10">
        <v>2</v>
      </c>
      <c r="J10">
        <v>120</v>
      </c>
      <c r="K10">
        <f t="shared" si="0"/>
        <v>8.3333333333333332E-3</v>
      </c>
      <c r="L10">
        <f t="shared" si="1"/>
        <v>683.33333333333337</v>
      </c>
    </row>
    <row r="11" spans="1:13" x14ac:dyDescent="0.2">
      <c r="A11" s="1" t="s">
        <v>351</v>
      </c>
      <c r="B11" t="s">
        <v>352</v>
      </c>
      <c r="C11">
        <v>5</v>
      </c>
      <c r="D11">
        <v>3100021015</v>
      </c>
      <c r="E11" t="s">
        <v>573</v>
      </c>
      <c r="F11" t="s">
        <v>504</v>
      </c>
      <c r="G11" s="18">
        <v>45215</v>
      </c>
      <c r="H11" s="21">
        <v>415</v>
      </c>
      <c r="I11">
        <v>2</v>
      </c>
      <c r="J11">
        <v>100</v>
      </c>
      <c r="K11">
        <f t="shared" si="0"/>
        <v>0.01</v>
      </c>
      <c r="L11">
        <f t="shared" si="1"/>
        <v>0.05</v>
      </c>
    </row>
    <row r="12" spans="1:13" x14ac:dyDescent="0.2">
      <c r="A12" s="1" t="s">
        <v>295</v>
      </c>
      <c r="B12" t="s">
        <v>296</v>
      </c>
      <c r="C12">
        <v>15000</v>
      </c>
      <c r="D12">
        <v>3100021540</v>
      </c>
      <c r="E12" t="s">
        <v>472</v>
      </c>
      <c r="F12" t="s">
        <v>479</v>
      </c>
      <c r="G12" s="18">
        <v>45216</v>
      </c>
      <c r="H12" s="21">
        <v>415</v>
      </c>
      <c r="I12">
        <v>2</v>
      </c>
      <c r="J12">
        <v>110</v>
      </c>
      <c r="K12">
        <f t="shared" si="0"/>
        <v>9.0909090909090905E-3</v>
      </c>
      <c r="L12">
        <f t="shared" si="1"/>
        <v>136.36363636363635</v>
      </c>
    </row>
    <row r="13" spans="1:13" x14ac:dyDescent="0.2">
      <c r="A13" s="1" t="s">
        <v>261</v>
      </c>
      <c r="B13" t="s">
        <v>262</v>
      </c>
      <c r="C13">
        <v>2000</v>
      </c>
      <c r="D13">
        <v>3100021623</v>
      </c>
      <c r="E13" t="s">
        <v>477</v>
      </c>
      <c r="F13" t="s">
        <v>478</v>
      </c>
      <c r="G13" s="18">
        <v>45224</v>
      </c>
      <c r="H13" s="21">
        <v>415</v>
      </c>
      <c r="I13">
        <v>2</v>
      </c>
      <c r="J13">
        <v>120</v>
      </c>
      <c r="K13">
        <f t="shared" si="0"/>
        <v>8.3333333333333332E-3</v>
      </c>
      <c r="L13">
        <f t="shared" si="1"/>
        <v>16.666666666666668</v>
      </c>
    </row>
    <row r="14" spans="1:13" x14ac:dyDescent="0.2">
      <c r="A14" s="1" t="s">
        <v>273</v>
      </c>
      <c r="B14" t="s">
        <v>274</v>
      </c>
      <c r="C14">
        <v>1000</v>
      </c>
      <c r="D14">
        <v>3100021623</v>
      </c>
      <c r="E14" t="s">
        <v>477</v>
      </c>
      <c r="F14" t="s">
        <v>478</v>
      </c>
      <c r="G14" s="18">
        <v>45224</v>
      </c>
      <c r="H14" s="21">
        <v>415</v>
      </c>
      <c r="I14">
        <v>2</v>
      </c>
      <c r="J14">
        <v>120</v>
      </c>
      <c r="K14">
        <f t="shared" si="0"/>
        <v>8.3333333333333332E-3</v>
      </c>
      <c r="L14">
        <f t="shared" si="1"/>
        <v>8.3333333333333339</v>
      </c>
    </row>
    <row r="15" spans="1:13" x14ac:dyDescent="0.2">
      <c r="A15" s="1" t="s">
        <v>107</v>
      </c>
      <c r="B15" t="s">
        <v>108</v>
      </c>
      <c r="C15">
        <v>100</v>
      </c>
      <c r="D15">
        <v>3100021636</v>
      </c>
      <c r="E15" t="s">
        <v>535</v>
      </c>
      <c r="F15" t="s">
        <v>536</v>
      </c>
      <c r="G15" s="18">
        <v>45230</v>
      </c>
      <c r="H15" s="21">
        <v>415</v>
      </c>
      <c r="I15">
        <v>2</v>
      </c>
      <c r="J15">
        <v>100</v>
      </c>
      <c r="K15">
        <f t="shared" si="0"/>
        <v>0.01</v>
      </c>
      <c r="L15">
        <f t="shared" si="1"/>
        <v>1</v>
      </c>
    </row>
    <row r="16" spans="1:13" x14ac:dyDescent="0.2">
      <c r="A16" s="1" t="s">
        <v>303</v>
      </c>
      <c r="B16" t="s">
        <v>304</v>
      </c>
      <c r="C16">
        <v>670</v>
      </c>
      <c r="D16">
        <v>3100021636</v>
      </c>
      <c r="E16" t="s">
        <v>535</v>
      </c>
      <c r="F16" t="s">
        <v>536</v>
      </c>
      <c r="G16" s="18">
        <v>45230</v>
      </c>
      <c r="H16" s="21">
        <v>415</v>
      </c>
      <c r="I16">
        <v>2</v>
      </c>
      <c r="J16">
        <v>120</v>
      </c>
      <c r="K16">
        <f t="shared" si="0"/>
        <v>8.3333333333333332E-3</v>
      </c>
      <c r="L16">
        <f t="shared" si="1"/>
        <v>5.583333333333333</v>
      </c>
    </row>
    <row r="17" spans="1:12" x14ac:dyDescent="0.2">
      <c r="A17" s="1" t="s">
        <v>33</v>
      </c>
      <c r="B17" t="s">
        <v>34</v>
      </c>
      <c r="C17">
        <v>100000</v>
      </c>
      <c r="D17">
        <v>3100019850</v>
      </c>
      <c r="E17" t="s">
        <v>491</v>
      </c>
      <c r="F17" t="s">
        <v>492</v>
      </c>
      <c r="G17" s="18">
        <v>45231</v>
      </c>
      <c r="H17" s="21">
        <v>416</v>
      </c>
      <c r="I17">
        <v>3</v>
      </c>
      <c r="J17">
        <v>110</v>
      </c>
      <c r="K17">
        <f t="shared" si="0"/>
        <v>9.0909090909090905E-3</v>
      </c>
      <c r="L17">
        <f t="shared" si="1"/>
        <v>909.09090909090901</v>
      </c>
    </row>
    <row r="18" spans="1:12" x14ac:dyDescent="0.2">
      <c r="A18" s="1" t="s">
        <v>377</v>
      </c>
      <c r="B18" t="s">
        <v>378</v>
      </c>
      <c r="C18">
        <v>6</v>
      </c>
      <c r="D18">
        <v>3100021500</v>
      </c>
      <c r="E18" t="s">
        <v>511</v>
      </c>
      <c r="F18" t="s">
        <v>512</v>
      </c>
      <c r="G18" s="18">
        <v>45163</v>
      </c>
      <c r="H18" s="21">
        <v>416</v>
      </c>
      <c r="I18">
        <v>2</v>
      </c>
      <c r="J18">
        <v>110</v>
      </c>
      <c r="K18">
        <f t="shared" si="0"/>
        <v>9.0909090909090905E-3</v>
      </c>
      <c r="L18">
        <f t="shared" si="1"/>
        <v>5.4545454545454543E-2</v>
      </c>
    </row>
    <row r="19" spans="1:12" x14ac:dyDescent="0.2">
      <c r="A19" s="1" t="s">
        <v>151</v>
      </c>
      <c r="B19" t="s">
        <v>152</v>
      </c>
      <c r="C19">
        <v>38100</v>
      </c>
      <c r="D19">
        <v>3100021549</v>
      </c>
      <c r="E19" t="s">
        <v>485</v>
      </c>
      <c r="F19" t="s">
        <v>486</v>
      </c>
      <c r="G19" s="18">
        <v>45170</v>
      </c>
      <c r="H19" s="21">
        <v>416</v>
      </c>
      <c r="I19">
        <v>1</v>
      </c>
      <c r="J19">
        <v>110</v>
      </c>
      <c r="K19">
        <f t="shared" si="0"/>
        <v>9.0909090909090905E-3</v>
      </c>
      <c r="L19">
        <f t="shared" si="1"/>
        <v>346.36363636363637</v>
      </c>
    </row>
    <row r="20" spans="1:12" x14ac:dyDescent="0.2">
      <c r="A20" s="1" t="s">
        <v>305</v>
      </c>
      <c r="B20" t="s">
        <v>306</v>
      </c>
      <c r="C20">
        <v>6500</v>
      </c>
      <c r="D20">
        <v>3100021234</v>
      </c>
      <c r="E20" t="s">
        <v>518</v>
      </c>
      <c r="F20" t="s">
        <v>500</v>
      </c>
      <c r="G20" s="18">
        <v>45177</v>
      </c>
      <c r="H20" s="21">
        <v>416</v>
      </c>
      <c r="I20">
        <v>2</v>
      </c>
      <c r="J20">
        <v>90</v>
      </c>
      <c r="K20">
        <f t="shared" si="0"/>
        <v>1.1111111111111112E-2</v>
      </c>
      <c r="L20">
        <f t="shared" si="1"/>
        <v>72.222222222222229</v>
      </c>
    </row>
    <row r="21" spans="1:12" x14ac:dyDescent="0.2">
      <c r="A21" s="1" t="s">
        <v>309</v>
      </c>
      <c r="B21" t="s">
        <v>310</v>
      </c>
      <c r="C21">
        <v>500</v>
      </c>
      <c r="D21">
        <v>3100021234</v>
      </c>
      <c r="E21" t="s">
        <v>518</v>
      </c>
      <c r="F21" t="s">
        <v>500</v>
      </c>
      <c r="G21" s="18">
        <v>45177</v>
      </c>
      <c r="H21" s="21">
        <v>416</v>
      </c>
      <c r="I21">
        <v>2</v>
      </c>
      <c r="J21">
        <v>90</v>
      </c>
      <c r="K21">
        <f t="shared" si="0"/>
        <v>1.1111111111111112E-2</v>
      </c>
      <c r="L21">
        <f t="shared" si="1"/>
        <v>5.5555555555555554</v>
      </c>
    </row>
    <row r="22" spans="1:12" x14ac:dyDescent="0.2">
      <c r="A22" s="1" t="s">
        <v>455</v>
      </c>
      <c r="B22" t="s">
        <v>456</v>
      </c>
      <c r="C22">
        <v>500</v>
      </c>
      <c r="D22">
        <v>3100021639</v>
      </c>
      <c r="E22" t="s">
        <v>640</v>
      </c>
      <c r="F22" t="s">
        <v>641</v>
      </c>
      <c r="G22" s="18">
        <v>45183</v>
      </c>
      <c r="H22" s="21">
        <v>416</v>
      </c>
      <c r="I22">
        <v>2</v>
      </c>
      <c r="J22">
        <v>110</v>
      </c>
      <c r="K22">
        <f t="shared" si="0"/>
        <v>9.0909090909090905E-3</v>
      </c>
      <c r="L22">
        <f t="shared" si="1"/>
        <v>4.545454545454545</v>
      </c>
    </row>
    <row r="23" spans="1:12" x14ac:dyDescent="0.2">
      <c r="A23" s="1" t="s">
        <v>55</v>
      </c>
      <c r="B23" t="s">
        <v>56</v>
      </c>
      <c r="C23">
        <v>4000</v>
      </c>
      <c r="D23">
        <v>3100021567</v>
      </c>
      <c r="E23" t="s">
        <v>484</v>
      </c>
      <c r="F23" t="s">
        <v>481</v>
      </c>
      <c r="G23" s="18">
        <v>45205</v>
      </c>
      <c r="H23" s="21">
        <v>416</v>
      </c>
      <c r="I23">
        <v>2</v>
      </c>
      <c r="J23">
        <v>110</v>
      </c>
      <c r="K23">
        <f t="shared" si="0"/>
        <v>9.0909090909090905E-3</v>
      </c>
      <c r="L23">
        <f t="shared" si="1"/>
        <v>36.36363636363636</v>
      </c>
    </row>
    <row r="24" spans="1:12" x14ac:dyDescent="0.2">
      <c r="A24" s="1" t="s">
        <v>85</v>
      </c>
      <c r="B24" t="s">
        <v>86</v>
      </c>
      <c r="C24">
        <v>450</v>
      </c>
      <c r="D24">
        <v>3100021567</v>
      </c>
      <c r="E24" t="s">
        <v>484</v>
      </c>
      <c r="F24" t="s">
        <v>481</v>
      </c>
      <c r="G24" s="18">
        <v>45205</v>
      </c>
      <c r="H24" s="21">
        <v>416</v>
      </c>
      <c r="I24">
        <v>2</v>
      </c>
      <c r="J24">
        <v>90</v>
      </c>
      <c r="K24">
        <f t="shared" si="0"/>
        <v>1.1111111111111112E-2</v>
      </c>
      <c r="L24">
        <f t="shared" si="1"/>
        <v>5</v>
      </c>
    </row>
    <row r="25" spans="1:12" x14ac:dyDescent="0.2">
      <c r="A25" s="1" t="s">
        <v>105</v>
      </c>
      <c r="B25" t="s">
        <v>106</v>
      </c>
      <c r="C25">
        <v>2800</v>
      </c>
      <c r="D25">
        <v>3100021506</v>
      </c>
      <c r="E25" t="s">
        <v>475</v>
      </c>
      <c r="F25" t="s">
        <v>476</v>
      </c>
      <c r="G25" s="18">
        <v>45212</v>
      </c>
      <c r="H25" s="21">
        <v>416</v>
      </c>
      <c r="I25">
        <v>2</v>
      </c>
      <c r="J25">
        <v>90</v>
      </c>
      <c r="K25">
        <f t="shared" si="0"/>
        <v>1.1111111111111112E-2</v>
      </c>
      <c r="L25">
        <f t="shared" si="1"/>
        <v>31.111111111111111</v>
      </c>
    </row>
    <row r="26" spans="1:12" x14ac:dyDescent="0.2">
      <c r="A26" s="1" t="s">
        <v>91</v>
      </c>
      <c r="B26" t="s">
        <v>92</v>
      </c>
      <c r="C26">
        <v>600</v>
      </c>
      <c r="D26">
        <v>3100021621</v>
      </c>
      <c r="E26" t="s">
        <v>547</v>
      </c>
      <c r="F26" t="s">
        <v>548</v>
      </c>
      <c r="G26" s="18">
        <v>45219</v>
      </c>
      <c r="H26" s="21">
        <v>416</v>
      </c>
      <c r="I26">
        <v>2</v>
      </c>
      <c r="J26">
        <v>110</v>
      </c>
      <c r="K26">
        <f t="shared" si="0"/>
        <v>9.0909090909090905E-3</v>
      </c>
      <c r="L26">
        <f t="shared" si="1"/>
        <v>5.4545454545454541</v>
      </c>
    </row>
    <row r="27" spans="1:12" x14ac:dyDescent="0.2">
      <c r="A27" s="1" t="s">
        <v>249</v>
      </c>
      <c r="B27" t="s">
        <v>250</v>
      </c>
      <c r="C27">
        <v>1500</v>
      </c>
      <c r="D27">
        <v>3100021555</v>
      </c>
      <c r="E27" t="s">
        <v>566</v>
      </c>
      <c r="F27" t="s">
        <v>567</v>
      </c>
      <c r="G27" s="18">
        <v>45229</v>
      </c>
      <c r="H27" s="21">
        <v>416</v>
      </c>
      <c r="I27">
        <v>2</v>
      </c>
      <c r="J27">
        <v>110</v>
      </c>
      <c r="K27">
        <f t="shared" si="0"/>
        <v>9.0909090909090905E-3</v>
      </c>
      <c r="L27">
        <f t="shared" si="1"/>
        <v>13.636363636363635</v>
      </c>
    </row>
    <row r="28" spans="1:12" x14ac:dyDescent="0.2">
      <c r="A28" s="1" t="s">
        <v>307</v>
      </c>
      <c r="B28" t="s">
        <v>308</v>
      </c>
      <c r="C28">
        <v>2500</v>
      </c>
      <c r="D28">
        <v>3100021636</v>
      </c>
      <c r="E28" t="s">
        <v>535</v>
      </c>
      <c r="F28" t="s">
        <v>536</v>
      </c>
      <c r="G28" s="18">
        <v>45230</v>
      </c>
      <c r="H28" s="21">
        <v>416</v>
      </c>
      <c r="I28">
        <v>2</v>
      </c>
      <c r="J28">
        <v>90</v>
      </c>
      <c r="K28">
        <f t="shared" si="0"/>
        <v>1.1111111111111112E-2</v>
      </c>
      <c r="L28">
        <f t="shared" si="1"/>
        <v>27.777777777777779</v>
      </c>
    </row>
    <row r="29" spans="1:12" x14ac:dyDescent="0.2">
      <c r="A29" s="1" t="s">
        <v>255</v>
      </c>
      <c r="B29" t="s">
        <v>256</v>
      </c>
      <c r="C29">
        <v>500</v>
      </c>
      <c r="D29">
        <v>3100021534</v>
      </c>
      <c r="E29" t="s">
        <v>516</v>
      </c>
      <c r="F29" t="s">
        <v>517</v>
      </c>
      <c r="G29" s="18">
        <v>45320</v>
      </c>
      <c r="H29" s="21">
        <v>416</v>
      </c>
      <c r="I29">
        <v>2</v>
      </c>
      <c r="J29">
        <v>110</v>
      </c>
      <c r="K29">
        <f t="shared" si="0"/>
        <v>9.0909090909090905E-3</v>
      </c>
      <c r="L29">
        <f t="shared" si="1"/>
        <v>4.545454545454545</v>
      </c>
    </row>
    <row r="30" spans="1:12" x14ac:dyDescent="0.2">
      <c r="A30" s="1" t="s">
        <v>253</v>
      </c>
      <c r="B30" t="s">
        <v>254</v>
      </c>
      <c r="C30">
        <v>7500</v>
      </c>
      <c r="D30">
        <v>3100021562</v>
      </c>
      <c r="E30" t="s">
        <v>568</v>
      </c>
      <c r="F30" t="s">
        <v>517</v>
      </c>
      <c r="G30" s="18">
        <v>45439</v>
      </c>
      <c r="H30" s="21">
        <v>416</v>
      </c>
      <c r="I30">
        <v>2</v>
      </c>
      <c r="J30">
        <v>110</v>
      </c>
      <c r="K30">
        <f t="shared" si="0"/>
        <v>9.0909090909090905E-3</v>
      </c>
      <c r="L30">
        <f t="shared" si="1"/>
        <v>68.181818181818173</v>
      </c>
    </row>
    <row r="31" spans="1:12" x14ac:dyDescent="0.2">
      <c r="A31" s="1" t="s">
        <v>359</v>
      </c>
      <c r="B31" t="s">
        <v>360</v>
      </c>
      <c r="C31">
        <v>10981</v>
      </c>
      <c r="D31">
        <v>3100021396</v>
      </c>
      <c r="E31" t="s">
        <v>542</v>
      </c>
      <c r="F31" t="s">
        <v>543</v>
      </c>
      <c r="G31" s="18">
        <v>45164</v>
      </c>
      <c r="H31" s="21">
        <v>518</v>
      </c>
      <c r="I31">
        <v>1</v>
      </c>
      <c r="J31">
        <v>110</v>
      </c>
      <c r="K31">
        <f t="shared" si="0"/>
        <v>9.0909090909090905E-3</v>
      </c>
      <c r="L31">
        <f t="shared" si="1"/>
        <v>99.827272727272728</v>
      </c>
    </row>
    <row r="32" spans="1:12" x14ac:dyDescent="0.2">
      <c r="A32" s="1" t="s">
        <v>79</v>
      </c>
      <c r="B32" t="s">
        <v>80</v>
      </c>
      <c r="C32">
        <v>12168</v>
      </c>
      <c r="D32">
        <v>3100021396</v>
      </c>
      <c r="E32" t="s">
        <v>542</v>
      </c>
      <c r="F32" t="s">
        <v>543</v>
      </c>
      <c r="G32" s="18">
        <v>45164</v>
      </c>
      <c r="H32" s="21">
        <v>518</v>
      </c>
      <c r="I32">
        <v>1</v>
      </c>
      <c r="J32">
        <v>110</v>
      </c>
      <c r="K32">
        <f t="shared" si="0"/>
        <v>9.0909090909090905E-3</v>
      </c>
      <c r="L32">
        <f t="shared" si="1"/>
        <v>110.61818181818181</v>
      </c>
    </row>
    <row r="33" spans="1:12" x14ac:dyDescent="0.2">
      <c r="A33" s="1" t="s">
        <v>173</v>
      </c>
      <c r="B33" t="s">
        <v>174</v>
      </c>
      <c r="C33">
        <v>194250</v>
      </c>
      <c r="D33">
        <v>3200001168</v>
      </c>
      <c r="E33" t="s">
        <v>472</v>
      </c>
      <c r="F33" t="s">
        <v>497</v>
      </c>
      <c r="G33" s="18">
        <v>45215</v>
      </c>
      <c r="H33" s="21">
        <v>518</v>
      </c>
      <c r="I33">
        <v>2</v>
      </c>
      <c r="J33">
        <v>120</v>
      </c>
      <c r="K33">
        <f t="shared" si="0"/>
        <v>8.3333333333333332E-3</v>
      </c>
      <c r="L33">
        <f t="shared" si="1"/>
        <v>1618.75</v>
      </c>
    </row>
    <row r="34" spans="1:12" x14ac:dyDescent="0.2">
      <c r="A34" s="1" t="s">
        <v>175</v>
      </c>
      <c r="B34" t="s">
        <v>176</v>
      </c>
      <c r="C34">
        <v>77650</v>
      </c>
      <c r="D34">
        <v>3200001168</v>
      </c>
      <c r="E34" t="s">
        <v>472</v>
      </c>
      <c r="F34" t="s">
        <v>497</v>
      </c>
      <c r="G34" s="18">
        <v>45215</v>
      </c>
      <c r="H34" s="21">
        <v>518</v>
      </c>
      <c r="I34">
        <v>2</v>
      </c>
      <c r="J34">
        <v>120</v>
      </c>
      <c r="K34">
        <f t="shared" si="0"/>
        <v>8.3333333333333332E-3</v>
      </c>
      <c r="L34">
        <f t="shared" si="1"/>
        <v>647.08333333333337</v>
      </c>
    </row>
    <row r="35" spans="1:12" x14ac:dyDescent="0.2">
      <c r="A35" s="1" t="s">
        <v>281</v>
      </c>
      <c r="B35" t="s">
        <v>282</v>
      </c>
      <c r="C35">
        <v>87150</v>
      </c>
      <c r="D35">
        <v>3200001168</v>
      </c>
      <c r="E35" t="s">
        <v>472</v>
      </c>
      <c r="F35" t="s">
        <v>497</v>
      </c>
      <c r="G35" s="18">
        <v>45215</v>
      </c>
      <c r="H35" s="21">
        <v>518</v>
      </c>
      <c r="I35">
        <v>2</v>
      </c>
      <c r="J35">
        <v>120</v>
      </c>
      <c r="K35">
        <f t="shared" si="0"/>
        <v>8.3333333333333332E-3</v>
      </c>
      <c r="L35">
        <f t="shared" si="1"/>
        <v>726.25</v>
      </c>
    </row>
    <row r="36" spans="1:12" x14ac:dyDescent="0.2">
      <c r="A36" s="1" t="s">
        <v>407</v>
      </c>
      <c r="B36" t="s">
        <v>408</v>
      </c>
      <c r="C36">
        <v>303</v>
      </c>
      <c r="D36">
        <v>3100021543</v>
      </c>
      <c r="E36" t="s">
        <v>501</v>
      </c>
      <c r="F36" t="s">
        <v>483</v>
      </c>
      <c r="G36" s="18">
        <v>45170</v>
      </c>
      <c r="H36" s="21">
        <v>524</v>
      </c>
      <c r="I36">
        <v>3</v>
      </c>
      <c r="J36">
        <v>55</v>
      </c>
      <c r="K36">
        <f t="shared" si="0"/>
        <v>1.8181818181818181E-2</v>
      </c>
      <c r="L36">
        <f t="shared" si="1"/>
        <v>5.5090909090909088</v>
      </c>
    </row>
    <row r="37" spans="1:12" x14ac:dyDescent="0.2">
      <c r="A37" s="1" t="s">
        <v>93</v>
      </c>
      <c r="B37" t="s">
        <v>94</v>
      </c>
      <c r="C37">
        <v>120</v>
      </c>
      <c r="D37">
        <v>3100021512</v>
      </c>
      <c r="E37" t="s">
        <v>502</v>
      </c>
      <c r="F37" t="s">
        <v>503</v>
      </c>
      <c r="G37" s="18">
        <v>45174</v>
      </c>
      <c r="H37" s="21">
        <v>524</v>
      </c>
      <c r="I37">
        <v>3</v>
      </c>
      <c r="J37">
        <v>55</v>
      </c>
      <c r="K37">
        <f t="shared" si="0"/>
        <v>1.8181818181818181E-2</v>
      </c>
      <c r="L37">
        <f t="shared" si="1"/>
        <v>2.1818181818181817</v>
      </c>
    </row>
    <row r="38" spans="1:12" x14ac:dyDescent="0.2">
      <c r="A38" s="1" t="s">
        <v>321</v>
      </c>
      <c r="B38" t="s">
        <v>322</v>
      </c>
      <c r="C38">
        <v>100</v>
      </c>
      <c r="D38">
        <v>3100021234</v>
      </c>
      <c r="E38" t="s">
        <v>518</v>
      </c>
      <c r="F38" t="s">
        <v>500</v>
      </c>
      <c r="G38" s="18">
        <v>45177</v>
      </c>
      <c r="H38" s="21">
        <v>524</v>
      </c>
      <c r="I38">
        <v>3</v>
      </c>
      <c r="J38">
        <v>75</v>
      </c>
      <c r="K38">
        <f t="shared" si="0"/>
        <v>1.3333333333333334E-2</v>
      </c>
      <c r="L38">
        <f t="shared" si="1"/>
        <v>1.3333333333333335</v>
      </c>
    </row>
    <row r="39" spans="1:12" x14ac:dyDescent="0.2">
      <c r="A39" s="1" t="s">
        <v>327</v>
      </c>
      <c r="B39" t="s">
        <v>328</v>
      </c>
      <c r="C39">
        <v>400</v>
      </c>
      <c r="D39">
        <v>3100021234</v>
      </c>
      <c r="E39" t="s">
        <v>518</v>
      </c>
      <c r="F39" t="s">
        <v>500</v>
      </c>
      <c r="G39" s="18">
        <v>45177</v>
      </c>
      <c r="H39" s="21">
        <v>524</v>
      </c>
      <c r="I39">
        <v>3</v>
      </c>
      <c r="J39">
        <v>75</v>
      </c>
      <c r="K39">
        <f t="shared" si="0"/>
        <v>1.3333333333333334E-2</v>
      </c>
      <c r="L39">
        <f t="shared" si="1"/>
        <v>5.3333333333333339</v>
      </c>
    </row>
    <row r="40" spans="1:12" x14ac:dyDescent="0.2">
      <c r="A40" s="1" t="s">
        <v>77</v>
      </c>
      <c r="B40" t="s">
        <v>78</v>
      </c>
      <c r="C40">
        <v>3000</v>
      </c>
      <c r="D40">
        <v>3100021529</v>
      </c>
      <c r="E40" t="s">
        <v>493</v>
      </c>
      <c r="F40" t="s">
        <v>494</v>
      </c>
      <c r="G40" s="18">
        <v>45186</v>
      </c>
      <c r="H40" s="21">
        <v>524</v>
      </c>
      <c r="I40">
        <v>1</v>
      </c>
      <c r="J40">
        <v>65</v>
      </c>
      <c r="K40">
        <f t="shared" si="0"/>
        <v>1.5384615384615385E-2</v>
      </c>
      <c r="L40">
        <f t="shared" si="1"/>
        <v>46.153846153846153</v>
      </c>
    </row>
    <row r="41" spans="1:12" x14ac:dyDescent="0.2">
      <c r="A41" s="1" t="s">
        <v>99</v>
      </c>
      <c r="B41" t="s">
        <v>100</v>
      </c>
      <c r="C41">
        <v>1900</v>
      </c>
      <c r="D41">
        <v>3100021571</v>
      </c>
      <c r="E41" t="s">
        <v>472</v>
      </c>
      <c r="F41" t="s">
        <v>555</v>
      </c>
      <c r="G41" s="18">
        <v>45187</v>
      </c>
      <c r="H41" s="21">
        <v>524</v>
      </c>
      <c r="I41">
        <v>1</v>
      </c>
      <c r="J41">
        <v>55</v>
      </c>
      <c r="K41">
        <f t="shared" si="0"/>
        <v>1.8181818181818181E-2</v>
      </c>
      <c r="L41">
        <f t="shared" si="1"/>
        <v>34.545454545454547</v>
      </c>
    </row>
    <row r="42" spans="1:12" x14ac:dyDescent="0.2">
      <c r="A42" s="1" t="s">
        <v>57</v>
      </c>
      <c r="B42" t="s">
        <v>58</v>
      </c>
      <c r="C42">
        <v>3100</v>
      </c>
      <c r="D42">
        <v>3100021559</v>
      </c>
      <c r="E42" t="s">
        <v>539</v>
      </c>
      <c r="F42" t="s">
        <v>496</v>
      </c>
      <c r="G42" s="18">
        <v>45195</v>
      </c>
      <c r="H42" s="21">
        <v>524</v>
      </c>
      <c r="I42">
        <v>1</v>
      </c>
      <c r="J42">
        <v>65</v>
      </c>
      <c r="K42">
        <f t="shared" si="0"/>
        <v>1.5384615384615385E-2</v>
      </c>
      <c r="L42">
        <f t="shared" si="1"/>
        <v>47.692307692307693</v>
      </c>
    </row>
    <row r="43" spans="1:12" x14ac:dyDescent="0.2">
      <c r="A43" s="1" t="s">
        <v>427</v>
      </c>
      <c r="B43" t="s">
        <v>428</v>
      </c>
      <c r="C43">
        <v>416</v>
      </c>
      <c r="D43">
        <v>3100021606</v>
      </c>
      <c r="E43" t="s">
        <v>549</v>
      </c>
      <c r="F43" t="s">
        <v>545</v>
      </c>
      <c r="G43" s="18">
        <v>45201</v>
      </c>
      <c r="H43" s="21">
        <v>524</v>
      </c>
      <c r="I43">
        <v>2</v>
      </c>
      <c r="J43">
        <v>65</v>
      </c>
      <c r="K43">
        <f t="shared" si="0"/>
        <v>1.5384615384615385E-2</v>
      </c>
      <c r="L43">
        <f t="shared" si="1"/>
        <v>6.4</v>
      </c>
    </row>
    <row r="44" spans="1:12" x14ac:dyDescent="0.2">
      <c r="A44" s="1" t="s">
        <v>201</v>
      </c>
      <c r="B44" t="s">
        <v>202</v>
      </c>
      <c r="C44">
        <v>224</v>
      </c>
      <c r="D44">
        <v>3100021606</v>
      </c>
      <c r="E44" t="s">
        <v>549</v>
      </c>
      <c r="F44" t="s">
        <v>545</v>
      </c>
      <c r="G44" s="18">
        <v>45201</v>
      </c>
      <c r="H44" s="21">
        <v>524</v>
      </c>
      <c r="I44">
        <v>2</v>
      </c>
      <c r="J44">
        <v>65</v>
      </c>
      <c r="K44">
        <f t="shared" si="0"/>
        <v>1.5384615384615385E-2</v>
      </c>
      <c r="L44">
        <f t="shared" si="1"/>
        <v>3.4461538461538463</v>
      </c>
    </row>
    <row r="45" spans="1:12" x14ac:dyDescent="0.2">
      <c r="A45" s="1" t="s">
        <v>225</v>
      </c>
      <c r="B45" t="s">
        <v>226</v>
      </c>
      <c r="C45">
        <v>150</v>
      </c>
      <c r="D45">
        <v>3100021553</v>
      </c>
      <c r="E45" t="s">
        <v>495</v>
      </c>
      <c r="F45" t="s">
        <v>496</v>
      </c>
      <c r="G45" s="18">
        <v>45209</v>
      </c>
      <c r="H45" s="21">
        <v>524</v>
      </c>
      <c r="I45">
        <v>1</v>
      </c>
      <c r="J45">
        <v>65</v>
      </c>
      <c r="K45">
        <f t="shared" si="0"/>
        <v>1.5384615384615385E-2</v>
      </c>
      <c r="L45">
        <f t="shared" si="1"/>
        <v>2.3076923076923079</v>
      </c>
    </row>
    <row r="46" spans="1:12" x14ac:dyDescent="0.2">
      <c r="A46" s="1" t="s">
        <v>97</v>
      </c>
      <c r="B46" t="s">
        <v>98</v>
      </c>
      <c r="C46">
        <v>260</v>
      </c>
      <c r="D46">
        <v>3100021520</v>
      </c>
      <c r="E46" t="s">
        <v>534</v>
      </c>
      <c r="F46" t="s">
        <v>494</v>
      </c>
      <c r="G46" s="18">
        <v>45219</v>
      </c>
      <c r="H46" s="21">
        <v>524</v>
      </c>
      <c r="I46">
        <v>1</v>
      </c>
      <c r="J46">
        <v>55</v>
      </c>
      <c r="K46">
        <f t="shared" si="0"/>
        <v>1.8181818181818181E-2</v>
      </c>
      <c r="L46">
        <f t="shared" si="1"/>
        <v>4.7272727272727266</v>
      </c>
    </row>
    <row r="47" spans="1:12" x14ac:dyDescent="0.2">
      <c r="A47" s="1" t="s">
        <v>333</v>
      </c>
      <c r="B47" t="s">
        <v>334</v>
      </c>
      <c r="C47">
        <v>252</v>
      </c>
      <c r="D47">
        <v>3100021461</v>
      </c>
      <c r="E47" t="s">
        <v>499</v>
      </c>
      <c r="F47" t="s">
        <v>500</v>
      </c>
      <c r="G47" s="18">
        <v>45219</v>
      </c>
      <c r="H47" s="21">
        <v>524</v>
      </c>
      <c r="I47">
        <v>3</v>
      </c>
      <c r="J47">
        <v>75</v>
      </c>
      <c r="K47">
        <f t="shared" si="0"/>
        <v>1.3333333333333334E-2</v>
      </c>
      <c r="L47">
        <f t="shared" si="1"/>
        <v>3.3600000000000003</v>
      </c>
    </row>
    <row r="48" spans="1:12" x14ac:dyDescent="0.2">
      <c r="A48" s="1" t="s">
        <v>323</v>
      </c>
      <c r="B48" t="s">
        <v>324</v>
      </c>
      <c r="C48">
        <v>2500</v>
      </c>
      <c r="D48">
        <v>3100021636</v>
      </c>
      <c r="E48" t="s">
        <v>535</v>
      </c>
      <c r="F48" t="s">
        <v>536</v>
      </c>
      <c r="G48" s="18">
        <v>45230</v>
      </c>
      <c r="H48" s="21">
        <v>524</v>
      </c>
      <c r="I48">
        <v>3</v>
      </c>
      <c r="J48">
        <v>75</v>
      </c>
      <c r="K48">
        <f t="shared" si="0"/>
        <v>1.3333333333333334E-2</v>
      </c>
      <c r="L48">
        <f t="shared" si="1"/>
        <v>33.333333333333336</v>
      </c>
    </row>
    <row r="49" spans="1:12" x14ac:dyDescent="0.2">
      <c r="A49" s="1" t="s">
        <v>325</v>
      </c>
      <c r="B49" t="s">
        <v>326</v>
      </c>
      <c r="C49">
        <v>1010</v>
      </c>
      <c r="D49">
        <v>3100021636</v>
      </c>
      <c r="E49" t="s">
        <v>535</v>
      </c>
      <c r="F49" t="s">
        <v>536</v>
      </c>
      <c r="G49" s="18">
        <v>45230</v>
      </c>
      <c r="H49" s="21">
        <v>524</v>
      </c>
      <c r="I49">
        <v>3</v>
      </c>
      <c r="J49">
        <v>75</v>
      </c>
      <c r="K49">
        <f t="shared" si="0"/>
        <v>1.3333333333333334E-2</v>
      </c>
      <c r="L49">
        <f t="shared" si="1"/>
        <v>13.466666666666667</v>
      </c>
    </row>
    <row r="50" spans="1:12" x14ac:dyDescent="0.2">
      <c r="A50" s="1" t="s">
        <v>329</v>
      </c>
      <c r="B50" t="s">
        <v>330</v>
      </c>
      <c r="C50">
        <v>745</v>
      </c>
      <c r="D50">
        <v>3100021636</v>
      </c>
      <c r="E50" t="s">
        <v>535</v>
      </c>
      <c r="F50" t="s">
        <v>536</v>
      </c>
      <c r="G50" s="18">
        <v>45230</v>
      </c>
      <c r="H50" s="21">
        <v>524</v>
      </c>
      <c r="I50">
        <v>3</v>
      </c>
      <c r="J50">
        <v>75</v>
      </c>
      <c r="K50">
        <f t="shared" si="0"/>
        <v>1.3333333333333334E-2</v>
      </c>
      <c r="L50">
        <f t="shared" si="1"/>
        <v>9.9333333333333336</v>
      </c>
    </row>
    <row r="51" spans="1:12" x14ac:dyDescent="0.2">
      <c r="A51" s="1" t="s">
        <v>117</v>
      </c>
      <c r="B51" t="s">
        <v>118</v>
      </c>
      <c r="C51">
        <v>2800</v>
      </c>
      <c r="D51" t="s">
        <v>472</v>
      </c>
      <c r="E51" t="s">
        <v>472</v>
      </c>
      <c r="F51" t="s">
        <v>504</v>
      </c>
      <c r="G51" s="18">
        <v>45231</v>
      </c>
      <c r="H51" s="21">
        <v>524</v>
      </c>
      <c r="I51">
        <v>2</v>
      </c>
      <c r="J51">
        <v>65</v>
      </c>
      <c r="K51">
        <f t="shared" si="0"/>
        <v>1.5384615384615385E-2</v>
      </c>
      <c r="L51">
        <f t="shared" si="1"/>
        <v>43.07692307692308</v>
      </c>
    </row>
    <row r="52" spans="1:12" x14ac:dyDescent="0.2">
      <c r="A52" s="1" t="s">
        <v>153</v>
      </c>
      <c r="B52" t="s">
        <v>154</v>
      </c>
      <c r="C52">
        <v>14886</v>
      </c>
      <c r="D52">
        <v>3100021396</v>
      </c>
      <c r="E52" t="s">
        <v>542</v>
      </c>
      <c r="F52" t="s">
        <v>543</v>
      </c>
      <c r="G52" s="18">
        <v>45164</v>
      </c>
      <c r="H52" s="22" t="s">
        <v>505</v>
      </c>
      <c r="I52">
        <v>2</v>
      </c>
      <c r="J52">
        <v>70</v>
      </c>
      <c r="K52">
        <f t="shared" si="0"/>
        <v>1.4285714285714285E-2</v>
      </c>
      <c r="L52">
        <f t="shared" si="1"/>
        <v>212.65714285714284</v>
      </c>
    </row>
    <row r="53" spans="1:12" x14ac:dyDescent="0.2">
      <c r="A53" s="1" t="s">
        <v>39</v>
      </c>
      <c r="B53" t="s">
        <v>40</v>
      </c>
      <c r="C53">
        <v>500</v>
      </c>
      <c r="D53">
        <v>3100021638</v>
      </c>
      <c r="E53" t="s">
        <v>531</v>
      </c>
      <c r="F53" t="s">
        <v>532</v>
      </c>
      <c r="G53" s="18">
        <v>45195</v>
      </c>
      <c r="H53" s="21" t="s">
        <v>505</v>
      </c>
      <c r="I53">
        <v>3</v>
      </c>
      <c r="J53">
        <v>65</v>
      </c>
      <c r="K53">
        <f t="shared" si="0"/>
        <v>1.5384615384615385E-2</v>
      </c>
      <c r="L53">
        <f t="shared" si="1"/>
        <v>7.6923076923076925</v>
      </c>
    </row>
    <row r="54" spans="1:12" x14ac:dyDescent="0.2">
      <c r="A54" s="1" t="s">
        <v>41</v>
      </c>
      <c r="B54" t="s">
        <v>42</v>
      </c>
      <c r="C54">
        <v>250</v>
      </c>
      <c r="D54">
        <v>3100021638</v>
      </c>
      <c r="E54" t="s">
        <v>531</v>
      </c>
      <c r="F54" t="s">
        <v>532</v>
      </c>
      <c r="G54" s="18">
        <v>45195</v>
      </c>
      <c r="H54" s="21" t="s">
        <v>505</v>
      </c>
      <c r="I54">
        <v>3</v>
      </c>
      <c r="J54">
        <v>65</v>
      </c>
      <c r="K54">
        <f t="shared" si="0"/>
        <v>1.5384615384615385E-2</v>
      </c>
      <c r="L54">
        <f t="shared" si="1"/>
        <v>3.8461538461538463</v>
      </c>
    </row>
    <row r="55" spans="1:12" x14ac:dyDescent="0.2">
      <c r="A55" s="1" t="s">
        <v>37</v>
      </c>
      <c r="B55" t="s">
        <v>38</v>
      </c>
      <c r="C55">
        <v>1100</v>
      </c>
      <c r="D55">
        <v>3100021638</v>
      </c>
      <c r="E55" t="s">
        <v>531</v>
      </c>
      <c r="F55" t="s">
        <v>532</v>
      </c>
      <c r="G55" s="18">
        <v>45195</v>
      </c>
      <c r="H55" s="21" t="s">
        <v>505</v>
      </c>
      <c r="I55">
        <v>3</v>
      </c>
      <c r="J55">
        <v>65</v>
      </c>
      <c r="K55">
        <f t="shared" ref="K55:K108" si="2">1/J55</f>
        <v>1.5384615384615385E-2</v>
      </c>
      <c r="L55">
        <f t="shared" ref="L55:L108" si="3">K55*C55</f>
        <v>16.923076923076923</v>
      </c>
    </row>
    <row r="56" spans="1:12" x14ac:dyDescent="0.2">
      <c r="A56" s="1" t="s">
        <v>61</v>
      </c>
      <c r="B56" t="s">
        <v>62</v>
      </c>
      <c r="C56">
        <v>635</v>
      </c>
      <c r="D56">
        <v>3100021638</v>
      </c>
      <c r="E56" t="s">
        <v>531</v>
      </c>
      <c r="F56" t="s">
        <v>532</v>
      </c>
      <c r="G56" s="18">
        <v>45195</v>
      </c>
      <c r="H56" s="21" t="s">
        <v>505</v>
      </c>
      <c r="I56">
        <v>3</v>
      </c>
      <c r="J56">
        <v>65</v>
      </c>
      <c r="K56">
        <f t="shared" si="2"/>
        <v>1.5384615384615385E-2</v>
      </c>
      <c r="L56">
        <f t="shared" si="3"/>
        <v>9.7692307692307701</v>
      </c>
    </row>
    <row r="57" spans="1:12" x14ac:dyDescent="0.2">
      <c r="A57" s="1" t="s">
        <v>51</v>
      </c>
      <c r="B57" t="s">
        <v>52</v>
      </c>
      <c r="C57">
        <v>190</v>
      </c>
      <c r="D57">
        <v>3100021558</v>
      </c>
      <c r="E57" t="s">
        <v>529</v>
      </c>
      <c r="F57" t="s">
        <v>530</v>
      </c>
      <c r="G57" s="18">
        <v>45201</v>
      </c>
      <c r="H57" s="21" t="s">
        <v>505</v>
      </c>
      <c r="I57">
        <v>3</v>
      </c>
      <c r="J57">
        <v>65</v>
      </c>
      <c r="K57">
        <f t="shared" si="2"/>
        <v>1.5384615384615385E-2</v>
      </c>
      <c r="L57">
        <f t="shared" si="3"/>
        <v>2.9230769230769234</v>
      </c>
    </row>
    <row r="58" spans="1:12" x14ac:dyDescent="0.2">
      <c r="A58" s="1" t="s">
        <v>441</v>
      </c>
      <c r="B58" t="s">
        <v>442</v>
      </c>
      <c r="C58">
        <v>336</v>
      </c>
      <c r="D58">
        <v>3100021618</v>
      </c>
      <c r="E58" t="s">
        <v>586</v>
      </c>
      <c r="F58" t="s">
        <v>587</v>
      </c>
      <c r="G58" s="18">
        <v>45237</v>
      </c>
      <c r="H58" s="21" t="s">
        <v>505</v>
      </c>
      <c r="I58">
        <v>3</v>
      </c>
      <c r="J58">
        <v>65</v>
      </c>
      <c r="K58">
        <f t="shared" si="2"/>
        <v>1.5384615384615385E-2</v>
      </c>
      <c r="L58">
        <f t="shared" si="3"/>
        <v>5.1692307692307695</v>
      </c>
    </row>
    <row r="59" spans="1:12" x14ac:dyDescent="0.2">
      <c r="A59" s="1" t="s">
        <v>439</v>
      </c>
      <c r="B59" t="s">
        <v>440</v>
      </c>
      <c r="C59">
        <v>1412</v>
      </c>
      <c r="D59">
        <v>3100021618</v>
      </c>
      <c r="E59" t="s">
        <v>586</v>
      </c>
      <c r="F59" t="s">
        <v>587</v>
      </c>
      <c r="G59" s="18">
        <v>45237</v>
      </c>
      <c r="H59" s="21" t="s">
        <v>505</v>
      </c>
      <c r="I59">
        <v>3</v>
      </c>
      <c r="J59">
        <v>65</v>
      </c>
      <c r="K59">
        <f t="shared" si="2"/>
        <v>1.5384615384615385E-2</v>
      </c>
      <c r="L59">
        <f t="shared" si="3"/>
        <v>21.723076923076924</v>
      </c>
    </row>
    <row r="60" spans="1:12" x14ac:dyDescent="0.2">
      <c r="A60" s="1" t="s">
        <v>437</v>
      </c>
      <c r="B60" t="s">
        <v>438</v>
      </c>
      <c r="C60">
        <v>202</v>
      </c>
      <c r="D60">
        <v>3100021618</v>
      </c>
      <c r="E60" t="s">
        <v>586</v>
      </c>
      <c r="F60" t="s">
        <v>587</v>
      </c>
      <c r="G60" s="18">
        <v>45237</v>
      </c>
      <c r="H60" s="21" t="s">
        <v>505</v>
      </c>
      <c r="I60">
        <v>3</v>
      </c>
      <c r="J60">
        <v>65</v>
      </c>
      <c r="K60">
        <f t="shared" si="2"/>
        <v>1.5384615384615385E-2</v>
      </c>
      <c r="L60">
        <f t="shared" si="3"/>
        <v>3.1076923076923078</v>
      </c>
    </row>
    <row r="61" spans="1:12" x14ac:dyDescent="0.2">
      <c r="A61" s="1" t="s">
        <v>83</v>
      </c>
      <c r="B61" t="s">
        <v>84</v>
      </c>
      <c r="C61">
        <v>240</v>
      </c>
      <c r="D61">
        <v>3100021102</v>
      </c>
      <c r="E61" t="s">
        <v>605</v>
      </c>
      <c r="F61" t="s">
        <v>522</v>
      </c>
      <c r="G61" s="18">
        <v>45275</v>
      </c>
      <c r="H61" s="21" t="s">
        <v>505</v>
      </c>
      <c r="I61">
        <v>2</v>
      </c>
      <c r="J61">
        <v>60</v>
      </c>
      <c r="K61">
        <f t="shared" si="2"/>
        <v>1.6666666666666666E-2</v>
      </c>
      <c r="L61">
        <f t="shared" si="3"/>
        <v>4</v>
      </c>
    </row>
    <row r="62" spans="1:12" x14ac:dyDescent="0.2">
      <c r="A62" s="1" t="s">
        <v>313</v>
      </c>
      <c r="B62" t="s">
        <v>314</v>
      </c>
      <c r="C62">
        <v>300</v>
      </c>
      <c r="D62">
        <v>3100021234</v>
      </c>
      <c r="E62" t="s">
        <v>518</v>
      </c>
      <c r="F62" t="s">
        <v>500</v>
      </c>
      <c r="G62" s="18">
        <v>45177</v>
      </c>
      <c r="H62" s="21" t="s">
        <v>513</v>
      </c>
      <c r="I62">
        <v>2</v>
      </c>
      <c r="J62">
        <v>90</v>
      </c>
      <c r="K62">
        <f t="shared" si="2"/>
        <v>1.1111111111111112E-2</v>
      </c>
      <c r="L62">
        <f t="shared" si="3"/>
        <v>3.3333333333333335</v>
      </c>
    </row>
    <row r="63" spans="1:12" x14ac:dyDescent="0.2">
      <c r="A63" s="1" t="s">
        <v>73</v>
      </c>
      <c r="B63" t="s">
        <v>74</v>
      </c>
      <c r="C63">
        <v>2662</v>
      </c>
      <c r="D63">
        <v>3200001154</v>
      </c>
      <c r="E63" t="s">
        <v>472</v>
      </c>
      <c r="F63" t="s">
        <v>553</v>
      </c>
      <c r="G63" s="18">
        <v>45180</v>
      </c>
      <c r="H63" s="21" t="s">
        <v>513</v>
      </c>
      <c r="I63">
        <v>2</v>
      </c>
      <c r="J63">
        <v>80</v>
      </c>
      <c r="K63">
        <f t="shared" si="2"/>
        <v>1.2500000000000001E-2</v>
      </c>
      <c r="L63">
        <f t="shared" si="3"/>
        <v>33.274999999999999</v>
      </c>
    </row>
    <row r="64" spans="1:12" x14ac:dyDescent="0.2">
      <c r="A64" s="1" t="s">
        <v>269</v>
      </c>
      <c r="B64" t="s">
        <v>270</v>
      </c>
      <c r="C64">
        <v>2159</v>
      </c>
      <c r="D64">
        <v>3100021639</v>
      </c>
      <c r="E64" t="s">
        <v>640</v>
      </c>
      <c r="F64" t="s">
        <v>641</v>
      </c>
      <c r="G64" s="18">
        <v>45183</v>
      </c>
      <c r="H64" s="21" t="s">
        <v>513</v>
      </c>
      <c r="I64">
        <v>2</v>
      </c>
      <c r="J64">
        <v>80</v>
      </c>
      <c r="K64">
        <f t="shared" si="2"/>
        <v>1.2500000000000001E-2</v>
      </c>
      <c r="L64">
        <f t="shared" si="3"/>
        <v>26.987500000000001</v>
      </c>
    </row>
    <row r="65" spans="1:12" x14ac:dyDescent="0.2">
      <c r="A65" s="1" t="s">
        <v>87</v>
      </c>
      <c r="B65" t="s">
        <v>88</v>
      </c>
      <c r="C65">
        <v>785</v>
      </c>
      <c r="D65">
        <v>3100021529</v>
      </c>
      <c r="E65" t="s">
        <v>493</v>
      </c>
      <c r="F65" t="s">
        <v>494</v>
      </c>
      <c r="G65" s="18">
        <v>45199</v>
      </c>
      <c r="H65" s="21" t="s">
        <v>513</v>
      </c>
      <c r="I65">
        <v>2</v>
      </c>
      <c r="J65">
        <v>80</v>
      </c>
      <c r="K65">
        <f t="shared" si="2"/>
        <v>1.2500000000000001E-2</v>
      </c>
      <c r="L65">
        <f t="shared" si="3"/>
        <v>9.8125</v>
      </c>
    </row>
    <row r="66" spans="1:12" x14ac:dyDescent="0.2">
      <c r="A66" s="1" t="s">
        <v>379</v>
      </c>
      <c r="B66" t="s">
        <v>380</v>
      </c>
      <c r="C66">
        <v>2950</v>
      </c>
      <c r="D66">
        <v>3200001168</v>
      </c>
      <c r="E66" t="s">
        <v>472</v>
      </c>
      <c r="F66" t="s">
        <v>497</v>
      </c>
      <c r="G66" s="18">
        <v>45215</v>
      </c>
      <c r="H66" s="22" t="s">
        <v>513</v>
      </c>
      <c r="I66">
        <v>1</v>
      </c>
      <c r="J66">
        <v>70</v>
      </c>
      <c r="K66">
        <f t="shared" si="2"/>
        <v>1.4285714285714285E-2</v>
      </c>
      <c r="L66">
        <f t="shared" si="3"/>
        <v>42.142857142857139</v>
      </c>
    </row>
    <row r="67" spans="1:12" x14ac:dyDescent="0.2">
      <c r="A67" s="1" t="s">
        <v>381</v>
      </c>
      <c r="B67" t="s">
        <v>382</v>
      </c>
      <c r="C67">
        <v>2500</v>
      </c>
      <c r="D67">
        <v>3200001168</v>
      </c>
      <c r="E67" t="s">
        <v>472</v>
      </c>
      <c r="F67" t="s">
        <v>497</v>
      </c>
      <c r="G67" s="18">
        <v>45215</v>
      </c>
      <c r="H67" s="22" t="s">
        <v>513</v>
      </c>
      <c r="I67">
        <v>1</v>
      </c>
      <c r="J67">
        <v>70</v>
      </c>
      <c r="K67">
        <f t="shared" si="2"/>
        <v>1.4285714285714285E-2</v>
      </c>
      <c r="L67">
        <f t="shared" si="3"/>
        <v>35.714285714285715</v>
      </c>
    </row>
    <row r="68" spans="1:12" x14ac:dyDescent="0.2">
      <c r="A68" s="1" t="s">
        <v>383</v>
      </c>
      <c r="B68" t="s">
        <v>384</v>
      </c>
      <c r="C68">
        <v>1730</v>
      </c>
      <c r="D68">
        <v>3200001168</v>
      </c>
      <c r="E68" t="s">
        <v>472</v>
      </c>
      <c r="F68" t="s">
        <v>497</v>
      </c>
      <c r="G68" s="18">
        <v>45215</v>
      </c>
      <c r="H68" s="22" t="s">
        <v>513</v>
      </c>
      <c r="I68">
        <v>1</v>
      </c>
      <c r="J68">
        <v>70</v>
      </c>
      <c r="K68">
        <f t="shared" si="2"/>
        <v>1.4285714285714285E-2</v>
      </c>
      <c r="L68">
        <f t="shared" si="3"/>
        <v>24.714285714285712</v>
      </c>
    </row>
    <row r="69" spans="1:12" x14ac:dyDescent="0.2">
      <c r="A69" s="1" t="s">
        <v>385</v>
      </c>
      <c r="B69" t="s">
        <v>386</v>
      </c>
      <c r="C69">
        <v>1800</v>
      </c>
      <c r="D69">
        <v>3200001168</v>
      </c>
      <c r="E69" t="s">
        <v>472</v>
      </c>
      <c r="F69" t="s">
        <v>497</v>
      </c>
      <c r="G69" s="18">
        <v>45215</v>
      </c>
      <c r="H69" s="22" t="s">
        <v>513</v>
      </c>
      <c r="I69">
        <v>1</v>
      </c>
      <c r="J69">
        <v>70</v>
      </c>
      <c r="K69">
        <f t="shared" si="2"/>
        <v>1.4285714285714285E-2</v>
      </c>
      <c r="L69">
        <f t="shared" si="3"/>
        <v>25.714285714285712</v>
      </c>
    </row>
    <row r="70" spans="1:12" x14ac:dyDescent="0.2">
      <c r="A70" s="1" t="s">
        <v>387</v>
      </c>
      <c r="B70" t="s">
        <v>388</v>
      </c>
      <c r="C70">
        <v>1450</v>
      </c>
      <c r="D70">
        <v>3200001168</v>
      </c>
      <c r="E70" t="s">
        <v>472</v>
      </c>
      <c r="F70" t="s">
        <v>497</v>
      </c>
      <c r="G70" s="18">
        <v>45215</v>
      </c>
      <c r="H70" s="22" t="s">
        <v>513</v>
      </c>
      <c r="I70">
        <v>1</v>
      </c>
      <c r="J70">
        <v>70</v>
      </c>
      <c r="K70">
        <f t="shared" si="2"/>
        <v>1.4285714285714285E-2</v>
      </c>
      <c r="L70">
        <f t="shared" si="3"/>
        <v>20.714285714285715</v>
      </c>
    </row>
    <row r="71" spans="1:12" x14ac:dyDescent="0.2">
      <c r="A71" s="1" t="s">
        <v>389</v>
      </c>
      <c r="B71" t="s">
        <v>390</v>
      </c>
      <c r="C71">
        <v>1020</v>
      </c>
      <c r="D71">
        <v>3200001168</v>
      </c>
      <c r="E71" t="s">
        <v>472</v>
      </c>
      <c r="F71" t="s">
        <v>497</v>
      </c>
      <c r="G71" s="18">
        <v>45215</v>
      </c>
      <c r="H71" s="22" t="s">
        <v>513</v>
      </c>
      <c r="I71">
        <v>1</v>
      </c>
      <c r="J71">
        <v>70</v>
      </c>
      <c r="K71">
        <f t="shared" si="2"/>
        <v>1.4285714285714285E-2</v>
      </c>
      <c r="L71">
        <f t="shared" si="3"/>
        <v>14.571428571428571</v>
      </c>
    </row>
    <row r="72" spans="1:12" x14ac:dyDescent="0.2">
      <c r="A72" s="1" t="s">
        <v>391</v>
      </c>
      <c r="B72" t="s">
        <v>392</v>
      </c>
      <c r="C72">
        <v>2350</v>
      </c>
      <c r="D72">
        <v>3200001168</v>
      </c>
      <c r="E72" t="s">
        <v>472</v>
      </c>
      <c r="F72" t="s">
        <v>497</v>
      </c>
      <c r="G72" s="18">
        <v>45215</v>
      </c>
      <c r="H72" s="22" t="s">
        <v>513</v>
      </c>
      <c r="I72">
        <v>1</v>
      </c>
      <c r="J72">
        <v>70</v>
      </c>
      <c r="K72">
        <f t="shared" si="2"/>
        <v>1.4285714285714285E-2</v>
      </c>
      <c r="L72">
        <f t="shared" si="3"/>
        <v>33.571428571428569</v>
      </c>
    </row>
    <row r="73" spans="1:12" x14ac:dyDescent="0.2">
      <c r="A73" s="1" t="s">
        <v>393</v>
      </c>
      <c r="B73" t="s">
        <v>394</v>
      </c>
      <c r="C73">
        <v>1800</v>
      </c>
      <c r="D73">
        <v>3200001168</v>
      </c>
      <c r="E73" t="s">
        <v>472</v>
      </c>
      <c r="F73" t="s">
        <v>497</v>
      </c>
      <c r="G73" s="18">
        <v>45215</v>
      </c>
      <c r="H73" s="22" t="s">
        <v>513</v>
      </c>
      <c r="I73">
        <v>1</v>
      </c>
      <c r="J73">
        <v>70</v>
      </c>
      <c r="K73">
        <f t="shared" si="2"/>
        <v>1.4285714285714285E-2</v>
      </c>
      <c r="L73">
        <f t="shared" si="3"/>
        <v>25.714285714285712</v>
      </c>
    </row>
    <row r="74" spans="1:12" x14ac:dyDescent="0.2">
      <c r="A74" s="1" t="s">
        <v>395</v>
      </c>
      <c r="B74" t="s">
        <v>396</v>
      </c>
      <c r="C74">
        <v>1300</v>
      </c>
      <c r="D74">
        <v>3200001168</v>
      </c>
      <c r="E74" t="s">
        <v>472</v>
      </c>
      <c r="F74" t="s">
        <v>497</v>
      </c>
      <c r="G74" s="18">
        <v>45215</v>
      </c>
      <c r="H74" s="22" t="s">
        <v>513</v>
      </c>
      <c r="I74">
        <v>1</v>
      </c>
      <c r="J74">
        <v>70</v>
      </c>
      <c r="K74">
        <f t="shared" si="2"/>
        <v>1.4285714285714285E-2</v>
      </c>
      <c r="L74">
        <f t="shared" si="3"/>
        <v>18.571428571428569</v>
      </c>
    </row>
    <row r="75" spans="1:12" x14ac:dyDescent="0.2">
      <c r="A75" s="1" t="s">
        <v>397</v>
      </c>
      <c r="B75" t="s">
        <v>398</v>
      </c>
      <c r="C75">
        <v>850</v>
      </c>
      <c r="D75">
        <v>3200001168</v>
      </c>
      <c r="E75" t="s">
        <v>472</v>
      </c>
      <c r="F75" t="s">
        <v>497</v>
      </c>
      <c r="G75" s="18">
        <v>45215</v>
      </c>
      <c r="H75" s="22" t="s">
        <v>513</v>
      </c>
      <c r="I75">
        <v>1</v>
      </c>
      <c r="J75">
        <v>70</v>
      </c>
      <c r="K75">
        <f t="shared" si="2"/>
        <v>1.4285714285714285E-2</v>
      </c>
      <c r="L75">
        <f t="shared" si="3"/>
        <v>12.142857142857142</v>
      </c>
    </row>
    <row r="76" spans="1:12" x14ac:dyDescent="0.2">
      <c r="A76" s="1" t="s">
        <v>399</v>
      </c>
      <c r="B76" t="s">
        <v>400</v>
      </c>
      <c r="C76">
        <v>70</v>
      </c>
      <c r="D76">
        <v>3200001168</v>
      </c>
      <c r="E76" t="s">
        <v>472</v>
      </c>
      <c r="F76" t="s">
        <v>497</v>
      </c>
      <c r="G76" s="18">
        <v>45215</v>
      </c>
      <c r="H76" s="22" t="s">
        <v>513</v>
      </c>
      <c r="I76">
        <v>1</v>
      </c>
      <c r="J76">
        <v>70</v>
      </c>
      <c r="K76">
        <f t="shared" si="2"/>
        <v>1.4285714285714285E-2</v>
      </c>
      <c r="L76">
        <f t="shared" si="3"/>
        <v>1</v>
      </c>
    </row>
    <row r="77" spans="1:12" x14ac:dyDescent="0.2">
      <c r="A77" s="1" t="s">
        <v>401</v>
      </c>
      <c r="B77" t="s">
        <v>402</v>
      </c>
      <c r="C77">
        <v>50</v>
      </c>
      <c r="D77">
        <v>3200001168</v>
      </c>
      <c r="E77" t="s">
        <v>472</v>
      </c>
      <c r="F77" t="s">
        <v>497</v>
      </c>
      <c r="G77" s="18">
        <v>45215</v>
      </c>
      <c r="H77" s="22" t="s">
        <v>513</v>
      </c>
      <c r="I77">
        <v>1</v>
      </c>
      <c r="J77">
        <v>70</v>
      </c>
      <c r="K77">
        <f t="shared" si="2"/>
        <v>1.4285714285714285E-2</v>
      </c>
      <c r="L77">
        <f t="shared" si="3"/>
        <v>0.7142857142857143</v>
      </c>
    </row>
    <row r="78" spans="1:12" x14ac:dyDescent="0.2">
      <c r="A78" s="1" t="s">
        <v>67</v>
      </c>
      <c r="B78" t="s">
        <v>68</v>
      </c>
      <c r="C78">
        <v>470</v>
      </c>
      <c r="D78">
        <v>3100021520</v>
      </c>
      <c r="E78" t="s">
        <v>534</v>
      </c>
      <c r="F78" t="s">
        <v>494</v>
      </c>
      <c r="G78" s="18">
        <v>45219</v>
      </c>
      <c r="H78" s="21" t="s">
        <v>513</v>
      </c>
      <c r="I78">
        <v>2</v>
      </c>
      <c r="J78">
        <v>80</v>
      </c>
      <c r="K78">
        <f t="shared" si="2"/>
        <v>1.2500000000000001E-2</v>
      </c>
      <c r="L78">
        <f t="shared" si="3"/>
        <v>5.875</v>
      </c>
    </row>
    <row r="79" spans="1:12" x14ac:dyDescent="0.2">
      <c r="A79" s="1" t="s">
        <v>241</v>
      </c>
      <c r="B79" t="s">
        <v>242</v>
      </c>
      <c r="C79">
        <v>5082</v>
      </c>
      <c r="D79">
        <v>3100021555</v>
      </c>
      <c r="E79" t="s">
        <v>566</v>
      </c>
      <c r="F79" t="s">
        <v>567</v>
      </c>
      <c r="G79" s="18">
        <v>45229</v>
      </c>
      <c r="H79" s="21" t="s">
        <v>513</v>
      </c>
      <c r="I79">
        <v>2</v>
      </c>
      <c r="J79">
        <v>80</v>
      </c>
      <c r="K79">
        <f t="shared" si="2"/>
        <v>1.2500000000000001E-2</v>
      </c>
      <c r="L79">
        <f t="shared" si="3"/>
        <v>63.525000000000006</v>
      </c>
    </row>
    <row r="80" spans="1:12" x14ac:dyDescent="0.2">
      <c r="A80" s="1" t="s">
        <v>237</v>
      </c>
      <c r="B80" t="s">
        <v>238</v>
      </c>
      <c r="C80">
        <v>14600</v>
      </c>
      <c r="D80">
        <v>3100021555</v>
      </c>
      <c r="E80" t="s">
        <v>566</v>
      </c>
      <c r="F80" t="s">
        <v>567</v>
      </c>
      <c r="G80" s="18">
        <v>45229</v>
      </c>
      <c r="H80" s="21" t="s">
        <v>513</v>
      </c>
      <c r="I80">
        <v>2</v>
      </c>
      <c r="J80">
        <v>80</v>
      </c>
      <c r="K80">
        <f t="shared" si="2"/>
        <v>1.2500000000000001E-2</v>
      </c>
      <c r="L80">
        <f t="shared" si="3"/>
        <v>182.5</v>
      </c>
    </row>
    <row r="81" spans="1:12" x14ac:dyDescent="0.2">
      <c r="A81" s="1" t="s">
        <v>235</v>
      </c>
      <c r="B81" t="s">
        <v>236</v>
      </c>
      <c r="C81">
        <v>2100</v>
      </c>
      <c r="D81">
        <v>3100021555</v>
      </c>
      <c r="E81" t="s">
        <v>566</v>
      </c>
      <c r="F81" t="s">
        <v>567</v>
      </c>
      <c r="G81" s="18">
        <v>45229</v>
      </c>
      <c r="H81" s="21" t="s">
        <v>513</v>
      </c>
      <c r="I81">
        <v>2</v>
      </c>
      <c r="J81">
        <v>80</v>
      </c>
      <c r="K81">
        <f t="shared" si="2"/>
        <v>1.2500000000000001E-2</v>
      </c>
      <c r="L81">
        <f t="shared" si="3"/>
        <v>26.25</v>
      </c>
    </row>
    <row r="82" spans="1:12" x14ac:dyDescent="0.2">
      <c r="A82" s="1" t="s">
        <v>311</v>
      </c>
      <c r="B82" t="s">
        <v>312</v>
      </c>
      <c r="C82">
        <v>4700</v>
      </c>
      <c r="D82">
        <v>3100021636</v>
      </c>
      <c r="E82" t="s">
        <v>535</v>
      </c>
      <c r="F82" t="s">
        <v>536</v>
      </c>
      <c r="G82" s="18">
        <v>45230</v>
      </c>
      <c r="H82" s="21" t="s">
        <v>513</v>
      </c>
      <c r="I82">
        <v>2</v>
      </c>
      <c r="J82">
        <v>90</v>
      </c>
      <c r="K82">
        <f t="shared" si="2"/>
        <v>1.1111111111111112E-2</v>
      </c>
      <c r="L82">
        <f t="shared" si="3"/>
        <v>52.222222222222221</v>
      </c>
    </row>
    <row r="83" spans="1:12" x14ac:dyDescent="0.2">
      <c r="A83" s="1" t="s">
        <v>317</v>
      </c>
      <c r="B83" t="s">
        <v>318</v>
      </c>
      <c r="C83">
        <v>350</v>
      </c>
      <c r="D83">
        <v>3100021636</v>
      </c>
      <c r="E83" t="s">
        <v>535</v>
      </c>
      <c r="F83" t="s">
        <v>536</v>
      </c>
      <c r="G83" s="18">
        <v>45230</v>
      </c>
      <c r="H83" s="21" t="s">
        <v>513</v>
      </c>
      <c r="I83">
        <v>2</v>
      </c>
      <c r="J83">
        <v>90</v>
      </c>
      <c r="K83">
        <f t="shared" si="2"/>
        <v>1.1111111111111112E-2</v>
      </c>
      <c r="L83">
        <f t="shared" si="3"/>
        <v>3.8888888888888888</v>
      </c>
    </row>
    <row r="84" spans="1:12" x14ac:dyDescent="0.2">
      <c r="A84" s="1" t="s">
        <v>319</v>
      </c>
      <c r="B84" t="s">
        <v>320</v>
      </c>
      <c r="C84">
        <v>3100</v>
      </c>
      <c r="D84">
        <v>3100021636</v>
      </c>
      <c r="E84" t="s">
        <v>535</v>
      </c>
      <c r="F84" t="s">
        <v>536</v>
      </c>
      <c r="G84" s="18">
        <v>45230</v>
      </c>
      <c r="H84" s="21" t="s">
        <v>513</v>
      </c>
      <c r="I84">
        <v>2</v>
      </c>
      <c r="J84">
        <v>90</v>
      </c>
      <c r="K84">
        <f t="shared" si="2"/>
        <v>1.1111111111111112E-2</v>
      </c>
      <c r="L84">
        <f t="shared" si="3"/>
        <v>34.444444444444443</v>
      </c>
    </row>
    <row r="85" spans="1:12" x14ac:dyDescent="0.2">
      <c r="A85" s="1" t="s">
        <v>239</v>
      </c>
      <c r="B85" t="s">
        <v>240</v>
      </c>
      <c r="C85">
        <v>8800</v>
      </c>
      <c r="D85">
        <v>3100021294</v>
      </c>
      <c r="E85" t="s">
        <v>581</v>
      </c>
      <c r="F85" t="s">
        <v>582</v>
      </c>
      <c r="G85" s="18">
        <v>45250</v>
      </c>
      <c r="H85" s="21" t="s">
        <v>513</v>
      </c>
      <c r="I85">
        <v>2</v>
      </c>
      <c r="J85">
        <v>90</v>
      </c>
      <c r="K85">
        <f t="shared" si="2"/>
        <v>1.1111111111111112E-2</v>
      </c>
      <c r="L85">
        <f t="shared" si="3"/>
        <v>97.777777777777786</v>
      </c>
    </row>
    <row r="86" spans="1:12" x14ac:dyDescent="0.2">
      <c r="A86" s="1" t="s">
        <v>435</v>
      </c>
      <c r="B86" t="s">
        <v>436</v>
      </c>
      <c r="C86">
        <v>905</v>
      </c>
      <c r="D86">
        <v>3100021367</v>
      </c>
      <c r="E86" t="s">
        <v>558</v>
      </c>
      <c r="F86" t="s">
        <v>559</v>
      </c>
      <c r="G86" s="18">
        <v>45169</v>
      </c>
      <c r="H86" s="21" t="s">
        <v>520</v>
      </c>
      <c r="I86">
        <v>1</v>
      </c>
      <c r="J86">
        <v>60</v>
      </c>
      <c r="K86">
        <f t="shared" si="2"/>
        <v>1.6666666666666666E-2</v>
      </c>
      <c r="L86">
        <f t="shared" si="3"/>
        <v>15.083333333333334</v>
      </c>
    </row>
    <row r="87" spans="1:12" x14ac:dyDescent="0.2">
      <c r="A87" s="1" t="s">
        <v>181</v>
      </c>
      <c r="B87" t="s">
        <v>182</v>
      </c>
      <c r="C87">
        <v>470</v>
      </c>
      <c r="D87">
        <v>3100021419</v>
      </c>
      <c r="E87" t="s">
        <v>521</v>
      </c>
      <c r="F87" t="s">
        <v>522</v>
      </c>
      <c r="G87" s="18">
        <v>45170</v>
      </c>
      <c r="H87" s="21" t="s">
        <v>520</v>
      </c>
      <c r="I87">
        <v>1</v>
      </c>
      <c r="J87">
        <v>60</v>
      </c>
      <c r="K87">
        <f t="shared" si="2"/>
        <v>1.6666666666666666E-2</v>
      </c>
      <c r="L87">
        <f t="shared" si="3"/>
        <v>7.833333333333333</v>
      </c>
    </row>
    <row r="88" spans="1:12" x14ac:dyDescent="0.2">
      <c r="A88" s="1" t="s">
        <v>373</v>
      </c>
      <c r="B88" t="s">
        <v>374</v>
      </c>
      <c r="C88">
        <v>84</v>
      </c>
      <c r="D88">
        <v>3100021419</v>
      </c>
      <c r="E88" t="s">
        <v>521</v>
      </c>
      <c r="F88" t="s">
        <v>522</v>
      </c>
      <c r="G88" s="18">
        <v>45170</v>
      </c>
      <c r="H88" s="21" t="s">
        <v>520</v>
      </c>
      <c r="I88">
        <v>1</v>
      </c>
      <c r="J88">
        <v>60</v>
      </c>
      <c r="K88">
        <f t="shared" si="2"/>
        <v>1.6666666666666666E-2</v>
      </c>
      <c r="L88">
        <f t="shared" si="3"/>
        <v>1.4</v>
      </c>
    </row>
    <row r="89" spans="1:12" x14ac:dyDescent="0.2">
      <c r="A89" s="1" t="s">
        <v>409</v>
      </c>
      <c r="B89" t="s">
        <v>410</v>
      </c>
      <c r="C89">
        <v>185</v>
      </c>
      <c r="D89">
        <v>3100021420</v>
      </c>
      <c r="E89" t="s">
        <v>524</v>
      </c>
      <c r="F89" t="s">
        <v>504</v>
      </c>
      <c r="G89" s="18">
        <v>45177</v>
      </c>
      <c r="H89" s="21" t="s">
        <v>520</v>
      </c>
      <c r="I89">
        <v>1</v>
      </c>
      <c r="J89">
        <v>60</v>
      </c>
      <c r="K89">
        <f t="shared" si="2"/>
        <v>1.6666666666666666E-2</v>
      </c>
      <c r="L89">
        <f t="shared" si="3"/>
        <v>3.0833333333333335</v>
      </c>
    </row>
    <row r="90" spans="1:12" x14ac:dyDescent="0.2">
      <c r="A90" s="1" t="s">
        <v>247</v>
      </c>
      <c r="B90" t="s">
        <v>248</v>
      </c>
      <c r="C90">
        <v>550</v>
      </c>
      <c r="D90">
        <v>3100021584</v>
      </c>
      <c r="E90" t="s">
        <v>533</v>
      </c>
      <c r="F90" t="s">
        <v>488</v>
      </c>
      <c r="G90" s="18">
        <v>45183</v>
      </c>
      <c r="H90" s="21" t="s">
        <v>520</v>
      </c>
      <c r="I90">
        <v>1</v>
      </c>
      <c r="J90">
        <v>100</v>
      </c>
      <c r="K90">
        <f t="shared" si="2"/>
        <v>0.01</v>
      </c>
      <c r="L90">
        <f t="shared" si="3"/>
        <v>5.5</v>
      </c>
    </row>
    <row r="91" spans="1:12" x14ac:dyDescent="0.2">
      <c r="A91" s="1" t="s">
        <v>223</v>
      </c>
      <c r="B91" t="s">
        <v>224</v>
      </c>
      <c r="C91">
        <v>6210</v>
      </c>
      <c r="D91">
        <v>3100021601</v>
      </c>
      <c r="E91" t="s">
        <v>544</v>
      </c>
      <c r="F91" t="s">
        <v>545</v>
      </c>
      <c r="G91" s="18">
        <v>45191</v>
      </c>
      <c r="H91" s="21" t="s">
        <v>520</v>
      </c>
      <c r="I91">
        <v>3</v>
      </c>
      <c r="J91">
        <v>60</v>
      </c>
      <c r="K91">
        <f t="shared" si="2"/>
        <v>1.6666666666666666E-2</v>
      </c>
      <c r="L91">
        <f t="shared" si="3"/>
        <v>103.5</v>
      </c>
    </row>
    <row r="92" spans="1:12" x14ac:dyDescent="0.2">
      <c r="A92" s="1" t="s">
        <v>429</v>
      </c>
      <c r="B92" t="s">
        <v>430</v>
      </c>
      <c r="C92">
        <v>3216</v>
      </c>
      <c r="D92">
        <v>3100021601</v>
      </c>
      <c r="E92" t="s">
        <v>544</v>
      </c>
      <c r="F92" t="s">
        <v>545</v>
      </c>
      <c r="G92" s="18">
        <v>45191</v>
      </c>
      <c r="H92" s="21" t="s">
        <v>520</v>
      </c>
      <c r="I92">
        <v>3</v>
      </c>
      <c r="J92">
        <v>60</v>
      </c>
      <c r="K92">
        <f t="shared" si="2"/>
        <v>1.6666666666666666E-2</v>
      </c>
      <c r="L92">
        <f t="shared" si="3"/>
        <v>53.6</v>
      </c>
    </row>
    <row r="93" spans="1:12" x14ac:dyDescent="0.2">
      <c r="A93" s="1" t="s">
        <v>199</v>
      </c>
      <c r="B93" t="s">
        <v>200</v>
      </c>
      <c r="C93">
        <v>5543</v>
      </c>
      <c r="D93">
        <v>3100021601</v>
      </c>
      <c r="E93" t="s">
        <v>544</v>
      </c>
      <c r="F93" t="s">
        <v>545</v>
      </c>
      <c r="G93" s="18">
        <v>45191</v>
      </c>
      <c r="H93" s="21" t="s">
        <v>520</v>
      </c>
      <c r="I93">
        <v>3</v>
      </c>
      <c r="J93">
        <v>60</v>
      </c>
      <c r="K93">
        <f t="shared" si="2"/>
        <v>1.6666666666666666E-2</v>
      </c>
      <c r="L93">
        <f t="shared" si="3"/>
        <v>92.383333333333326</v>
      </c>
    </row>
    <row r="94" spans="1:12" x14ac:dyDescent="0.2">
      <c r="A94" s="1" t="s">
        <v>197</v>
      </c>
      <c r="B94" t="s">
        <v>198</v>
      </c>
      <c r="C94">
        <v>8742</v>
      </c>
      <c r="D94">
        <v>3100021601</v>
      </c>
      <c r="E94" t="s">
        <v>544</v>
      </c>
      <c r="F94" t="s">
        <v>545</v>
      </c>
      <c r="G94" s="18">
        <v>45191</v>
      </c>
      <c r="H94" s="21" t="s">
        <v>520</v>
      </c>
      <c r="I94">
        <v>3</v>
      </c>
      <c r="J94">
        <v>60</v>
      </c>
      <c r="K94">
        <f t="shared" si="2"/>
        <v>1.6666666666666666E-2</v>
      </c>
      <c r="L94">
        <f t="shared" si="3"/>
        <v>145.69999999999999</v>
      </c>
    </row>
    <row r="95" spans="1:12" x14ac:dyDescent="0.2">
      <c r="A95" s="1" t="s">
        <v>431</v>
      </c>
      <c r="B95" t="s">
        <v>432</v>
      </c>
      <c r="C95">
        <v>8792</v>
      </c>
      <c r="D95">
        <v>3100021601</v>
      </c>
      <c r="E95" t="s">
        <v>544</v>
      </c>
      <c r="F95" t="s">
        <v>545</v>
      </c>
      <c r="G95" s="18">
        <v>45191</v>
      </c>
      <c r="H95" s="21" t="s">
        <v>520</v>
      </c>
      <c r="I95">
        <v>3</v>
      </c>
      <c r="J95">
        <v>60</v>
      </c>
      <c r="K95">
        <f t="shared" si="2"/>
        <v>1.6666666666666666E-2</v>
      </c>
      <c r="L95">
        <f t="shared" si="3"/>
        <v>146.53333333333333</v>
      </c>
    </row>
    <row r="96" spans="1:12" x14ac:dyDescent="0.2">
      <c r="A96" s="1" t="s">
        <v>195</v>
      </c>
      <c r="B96" t="s">
        <v>196</v>
      </c>
      <c r="C96">
        <v>1724</v>
      </c>
      <c r="D96">
        <v>3100021601</v>
      </c>
      <c r="E96" t="s">
        <v>544</v>
      </c>
      <c r="F96" t="s">
        <v>545</v>
      </c>
      <c r="G96" s="18">
        <v>45191</v>
      </c>
      <c r="H96" s="21" t="s">
        <v>520</v>
      </c>
      <c r="I96">
        <v>3</v>
      </c>
      <c r="J96">
        <v>60</v>
      </c>
      <c r="K96">
        <f t="shared" si="2"/>
        <v>1.6666666666666666E-2</v>
      </c>
      <c r="L96">
        <f t="shared" si="3"/>
        <v>28.733333333333334</v>
      </c>
    </row>
    <row r="97" spans="1:12" x14ac:dyDescent="0.2">
      <c r="A97" s="1" t="s">
        <v>167</v>
      </c>
      <c r="B97" t="s">
        <v>168</v>
      </c>
      <c r="C97">
        <v>350</v>
      </c>
      <c r="D97">
        <v>3200001165</v>
      </c>
      <c r="E97" t="s">
        <v>472</v>
      </c>
      <c r="F97" t="s">
        <v>526</v>
      </c>
      <c r="G97" s="18">
        <v>45195</v>
      </c>
      <c r="H97" s="21" t="s">
        <v>520</v>
      </c>
      <c r="I97">
        <v>2</v>
      </c>
      <c r="J97">
        <v>60</v>
      </c>
      <c r="K97">
        <f t="shared" si="2"/>
        <v>1.6666666666666666E-2</v>
      </c>
      <c r="L97">
        <f t="shared" si="3"/>
        <v>5.833333333333333</v>
      </c>
    </row>
    <row r="98" spans="1:12" x14ac:dyDescent="0.2">
      <c r="A98" s="1" t="s">
        <v>149</v>
      </c>
      <c r="B98" t="s">
        <v>150</v>
      </c>
      <c r="C98">
        <v>325</v>
      </c>
      <c r="D98">
        <v>3200001165</v>
      </c>
      <c r="E98" t="s">
        <v>472</v>
      </c>
      <c r="F98" t="s">
        <v>526</v>
      </c>
      <c r="G98" s="18">
        <v>45195</v>
      </c>
      <c r="H98" s="21" t="s">
        <v>520</v>
      </c>
      <c r="I98">
        <v>2</v>
      </c>
      <c r="J98">
        <v>60</v>
      </c>
      <c r="K98">
        <f t="shared" si="2"/>
        <v>1.6666666666666666E-2</v>
      </c>
      <c r="L98">
        <f t="shared" si="3"/>
        <v>5.416666666666667</v>
      </c>
    </row>
    <row r="99" spans="1:12" x14ac:dyDescent="0.2">
      <c r="A99" s="1" t="s">
        <v>161</v>
      </c>
      <c r="B99" t="s">
        <v>162</v>
      </c>
      <c r="C99">
        <v>1000</v>
      </c>
      <c r="D99">
        <v>3100021426</v>
      </c>
      <c r="E99" t="s">
        <v>525</v>
      </c>
      <c r="F99" t="s">
        <v>504</v>
      </c>
      <c r="G99" s="18">
        <v>45199</v>
      </c>
      <c r="H99" s="21" t="s">
        <v>520</v>
      </c>
      <c r="I99">
        <v>1</v>
      </c>
      <c r="J99">
        <v>60</v>
      </c>
      <c r="K99">
        <f t="shared" si="2"/>
        <v>1.6666666666666666E-2</v>
      </c>
      <c r="L99">
        <f t="shared" si="3"/>
        <v>16.666666666666668</v>
      </c>
    </row>
    <row r="100" spans="1:12" x14ac:dyDescent="0.2">
      <c r="A100" s="1" t="s">
        <v>163</v>
      </c>
      <c r="B100" t="s">
        <v>164</v>
      </c>
      <c r="C100">
        <v>370</v>
      </c>
      <c r="D100">
        <v>3100021426</v>
      </c>
      <c r="E100" t="s">
        <v>525</v>
      </c>
      <c r="F100" t="s">
        <v>504</v>
      </c>
      <c r="G100" s="18">
        <v>45199</v>
      </c>
      <c r="H100" s="21" t="s">
        <v>520</v>
      </c>
      <c r="I100">
        <v>1</v>
      </c>
      <c r="J100">
        <v>60</v>
      </c>
      <c r="K100">
        <f t="shared" si="2"/>
        <v>1.6666666666666666E-2</v>
      </c>
      <c r="L100">
        <f t="shared" si="3"/>
        <v>6.166666666666667</v>
      </c>
    </row>
    <row r="101" spans="1:12" x14ac:dyDescent="0.2">
      <c r="A101" s="1" t="s">
        <v>207</v>
      </c>
      <c r="B101" t="s">
        <v>208</v>
      </c>
      <c r="C101">
        <v>682</v>
      </c>
      <c r="D101">
        <v>3100021606</v>
      </c>
      <c r="E101" t="s">
        <v>549</v>
      </c>
      <c r="F101" t="s">
        <v>545</v>
      </c>
      <c r="G101" s="18">
        <v>45201</v>
      </c>
      <c r="H101" s="21" t="s">
        <v>520</v>
      </c>
      <c r="I101">
        <v>1</v>
      </c>
      <c r="J101">
        <v>60</v>
      </c>
      <c r="K101">
        <f t="shared" si="2"/>
        <v>1.6666666666666666E-2</v>
      </c>
      <c r="L101">
        <f t="shared" si="3"/>
        <v>11.366666666666667</v>
      </c>
    </row>
    <row r="102" spans="1:12" x14ac:dyDescent="0.2">
      <c r="A102" s="1" t="s">
        <v>209</v>
      </c>
      <c r="B102" t="s">
        <v>210</v>
      </c>
      <c r="C102">
        <v>264</v>
      </c>
      <c r="D102">
        <v>3100021606</v>
      </c>
      <c r="E102" t="s">
        <v>549</v>
      </c>
      <c r="F102" t="s">
        <v>545</v>
      </c>
      <c r="G102" s="18">
        <v>45201</v>
      </c>
      <c r="H102" s="21" t="s">
        <v>520</v>
      </c>
      <c r="I102">
        <v>1</v>
      </c>
      <c r="J102">
        <v>60</v>
      </c>
      <c r="K102">
        <f t="shared" si="2"/>
        <v>1.6666666666666666E-2</v>
      </c>
      <c r="L102">
        <f t="shared" si="3"/>
        <v>4.4000000000000004</v>
      </c>
    </row>
    <row r="103" spans="1:12" x14ac:dyDescent="0.2">
      <c r="A103" s="1" t="s">
        <v>433</v>
      </c>
      <c r="B103" t="s">
        <v>434</v>
      </c>
      <c r="C103">
        <v>1835</v>
      </c>
      <c r="D103">
        <v>3100021606</v>
      </c>
      <c r="E103" t="s">
        <v>549</v>
      </c>
      <c r="F103" t="s">
        <v>545</v>
      </c>
      <c r="G103" s="18">
        <v>45201</v>
      </c>
      <c r="H103" s="21" t="s">
        <v>520</v>
      </c>
      <c r="I103">
        <v>1</v>
      </c>
      <c r="J103">
        <v>60</v>
      </c>
      <c r="K103">
        <f t="shared" si="2"/>
        <v>1.6666666666666666E-2</v>
      </c>
      <c r="L103">
        <f t="shared" si="3"/>
        <v>30.583333333333332</v>
      </c>
    </row>
    <row r="104" spans="1:12" x14ac:dyDescent="0.2">
      <c r="A104" s="1" t="s">
        <v>11</v>
      </c>
      <c r="B104" t="s">
        <v>12</v>
      </c>
      <c r="C104">
        <v>200</v>
      </c>
      <c r="D104" t="s">
        <v>472</v>
      </c>
      <c r="E104" t="s">
        <v>472</v>
      </c>
      <c r="F104" t="s">
        <v>504</v>
      </c>
      <c r="G104" s="18">
        <v>45202</v>
      </c>
      <c r="H104" s="21" t="s">
        <v>520</v>
      </c>
      <c r="I104">
        <v>1</v>
      </c>
      <c r="J104">
        <v>60</v>
      </c>
      <c r="K104">
        <f t="shared" si="2"/>
        <v>1.6666666666666666E-2</v>
      </c>
      <c r="L104">
        <f t="shared" si="3"/>
        <v>3.3333333333333335</v>
      </c>
    </row>
    <row r="105" spans="1:12" x14ac:dyDescent="0.2">
      <c r="A105" s="1" t="s">
        <v>141</v>
      </c>
      <c r="B105" t="s">
        <v>142</v>
      </c>
      <c r="C105">
        <v>350</v>
      </c>
      <c r="D105" t="s">
        <v>472</v>
      </c>
      <c r="E105" t="s">
        <v>472</v>
      </c>
      <c r="F105" t="s">
        <v>504</v>
      </c>
      <c r="G105" s="18">
        <v>45203</v>
      </c>
      <c r="H105" s="21" t="s">
        <v>520</v>
      </c>
      <c r="I105">
        <v>1</v>
      </c>
      <c r="J105">
        <v>60</v>
      </c>
      <c r="K105">
        <f t="shared" si="2"/>
        <v>1.6666666666666666E-2</v>
      </c>
      <c r="L105">
        <f t="shared" si="3"/>
        <v>5.833333333333333</v>
      </c>
    </row>
    <row r="106" spans="1:12" x14ac:dyDescent="0.2">
      <c r="A106" s="1" t="s">
        <v>165</v>
      </c>
      <c r="B106" t="s">
        <v>166</v>
      </c>
      <c r="C106">
        <v>250</v>
      </c>
      <c r="D106" t="s">
        <v>472</v>
      </c>
      <c r="E106" t="s">
        <v>472</v>
      </c>
      <c r="F106" t="s">
        <v>504</v>
      </c>
      <c r="G106" s="18">
        <v>45204</v>
      </c>
      <c r="H106" s="21" t="s">
        <v>520</v>
      </c>
      <c r="I106">
        <v>1</v>
      </c>
      <c r="J106">
        <v>60</v>
      </c>
      <c r="K106">
        <f t="shared" si="2"/>
        <v>1.6666666666666666E-2</v>
      </c>
      <c r="L106">
        <f t="shared" si="3"/>
        <v>4.166666666666667</v>
      </c>
    </row>
    <row r="107" spans="1:12" x14ac:dyDescent="0.2">
      <c r="A107" s="1" t="s">
        <v>217</v>
      </c>
      <c r="B107" t="s">
        <v>218</v>
      </c>
      <c r="C107">
        <v>500</v>
      </c>
      <c r="D107" t="s">
        <v>472</v>
      </c>
      <c r="E107" t="s">
        <v>472</v>
      </c>
      <c r="F107" t="s">
        <v>504</v>
      </c>
      <c r="G107" s="18">
        <v>45205</v>
      </c>
      <c r="H107" s="21" t="s">
        <v>520</v>
      </c>
      <c r="I107">
        <v>1</v>
      </c>
      <c r="J107">
        <v>60</v>
      </c>
      <c r="K107">
        <f t="shared" si="2"/>
        <v>1.6666666666666666E-2</v>
      </c>
      <c r="L107">
        <f t="shared" si="3"/>
        <v>8.3333333333333339</v>
      </c>
    </row>
    <row r="108" spans="1:12" x14ac:dyDescent="0.2">
      <c r="A108" s="1" t="s">
        <v>19</v>
      </c>
      <c r="B108" t="s">
        <v>20</v>
      </c>
      <c r="C108">
        <v>100</v>
      </c>
      <c r="D108" t="s">
        <v>472</v>
      </c>
      <c r="E108" t="s">
        <v>472</v>
      </c>
      <c r="F108" t="s">
        <v>504</v>
      </c>
      <c r="G108" s="18">
        <v>45206</v>
      </c>
      <c r="H108" s="21" t="s">
        <v>520</v>
      </c>
      <c r="I108">
        <v>1</v>
      </c>
      <c r="J108">
        <v>60</v>
      </c>
      <c r="K108">
        <f t="shared" si="2"/>
        <v>1.6666666666666666E-2</v>
      </c>
      <c r="L108">
        <f t="shared" si="3"/>
        <v>1.6666666666666667</v>
      </c>
    </row>
  </sheetData>
  <autoFilter ref="A1:M108" xr:uid="{11963CD5-7A75-4830-BA30-A07AFF0D12B8}">
    <sortState xmlns:xlrd2="http://schemas.microsoft.com/office/spreadsheetml/2017/richdata2" ref="A2:M108">
      <sortCondition ref="H1:H108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5267-A22B-4D4D-BB7D-B2CFAB8C2419}">
  <dimension ref="B1:K10"/>
  <sheetViews>
    <sheetView zoomScale="110" zoomScaleNormal="110" workbookViewId="0">
      <selection activeCell="D20" sqref="D20"/>
    </sheetView>
  </sheetViews>
  <sheetFormatPr defaultRowHeight="12.75" x14ac:dyDescent="0.2"/>
  <cols>
    <col min="3" max="3" width="19.7109375" style="32" bestFit="1" customWidth="1"/>
    <col min="4" max="4" width="18.140625" bestFit="1" customWidth="1"/>
    <col min="5" max="5" width="17.28515625" bestFit="1" customWidth="1"/>
    <col min="6" max="6" width="11.28515625" bestFit="1" customWidth="1"/>
    <col min="7" max="7" width="16.28515625" bestFit="1" customWidth="1"/>
    <col min="8" max="9" width="17.7109375" bestFit="1" customWidth="1"/>
    <col min="10" max="10" width="15.140625" bestFit="1" customWidth="1"/>
    <col min="11" max="11" width="25.28515625" customWidth="1"/>
  </cols>
  <sheetData>
    <row r="1" spans="2:11" x14ac:dyDescent="0.2">
      <c r="C1" s="23" t="s">
        <v>671</v>
      </c>
      <c r="D1" s="24">
        <v>0.85</v>
      </c>
      <c r="I1" s="25"/>
    </row>
    <row r="3" spans="2:11" x14ac:dyDescent="0.2">
      <c r="B3" s="26" t="s">
        <v>672</v>
      </c>
      <c r="C3" s="27" t="s">
        <v>673</v>
      </c>
      <c r="D3" s="28" t="s">
        <v>674</v>
      </c>
      <c r="E3" s="28" t="s">
        <v>675</v>
      </c>
      <c r="F3" s="28" t="s">
        <v>676</v>
      </c>
      <c r="G3" s="28" t="s">
        <v>677</v>
      </c>
      <c r="H3" s="28" t="s">
        <v>678</v>
      </c>
      <c r="I3" s="28" t="s">
        <v>679</v>
      </c>
      <c r="J3" s="28" t="s">
        <v>680</v>
      </c>
      <c r="K3" s="28" t="s">
        <v>681</v>
      </c>
    </row>
    <row r="4" spans="2:11" x14ac:dyDescent="0.2">
      <c r="B4" s="11">
        <v>415</v>
      </c>
      <c r="C4" s="29">
        <v>1088</v>
      </c>
      <c r="D4" s="13">
        <v>1</v>
      </c>
      <c r="E4" s="30">
        <f>D4*4*60</f>
        <v>240</v>
      </c>
      <c r="F4" s="13">
        <v>5</v>
      </c>
      <c r="G4" s="30">
        <f>F4*2*60</f>
        <v>600</v>
      </c>
      <c r="H4" s="13">
        <v>15</v>
      </c>
      <c r="I4" s="30">
        <f>H4*15</f>
        <v>225</v>
      </c>
      <c r="J4" s="13">
        <f>6*14*60*$D$1</f>
        <v>4284</v>
      </c>
      <c r="K4" s="31">
        <f>(C4+E4+G4+I4)/J4</f>
        <v>0.50256769374416432</v>
      </c>
    </row>
    <row r="5" spans="2:11" x14ac:dyDescent="0.2">
      <c r="B5" s="11">
        <v>416</v>
      </c>
      <c r="C5" s="29">
        <v>1530</v>
      </c>
      <c r="D5" s="13">
        <v>2</v>
      </c>
      <c r="E5" s="30">
        <f t="shared" ref="E5:E9" si="0">D5*4*60</f>
        <v>480</v>
      </c>
      <c r="F5" s="13">
        <v>4</v>
      </c>
      <c r="G5" s="30">
        <f t="shared" ref="G5:G10" si="1">F5*2*60</f>
        <v>480</v>
      </c>
      <c r="H5" s="13">
        <v>14</v>
      </c>
      <c r="I5" s="30">
        <f t="shared" ref="I5:I10" si="2">H5*15</f>
        <v>210</v>
      </c>
      <c r="J5" s="13">
        <f t="shared" ref="J5:J8" si="3">6*14*60*$D$1</f>
        <v>4284</v>
      </c>
      <c r="K5" s="31">
        <f t="shared" ref="K5:K10" si="4">(C5+E5+G5+I5)/J5</f>
        <v>0.63025210084033612</v>
      </c>
    </row>
    <row r="6" spans="2:11" x14ac:dyDescent="0.2">
      <c r="B6" s="11">
        <v>518</v>
      </c>
      <c r="C6" s="29">
        <v>3203</v>
      </c>
      <c r="D6" s="13">
        <v>0</v>
      </c>
      <c r="E6" s="30">
        <f t="shared" si="0"/>
        <v>0</v>
      </c>
      <c r="F6" s="13">
        <v>2</v>
      </c>
      <c r="G6" s="30">
        <f t="shared" si="1"/>
        <v>240</v>
      </c>
      <c r="H6" s="13">
        <v>5</v>
      </c>
      <c r="I6" s="30">
        <f t="shared" si="2"/>
        <v>75</v>
      </c>
      <c r="J6" s="13">
        <f t="shared" si="3"/>
        <v>4284</v>
      </c>
      <c r="K6" s="31">
        <f t="shared" si="4"/>
        <v>0.82119514472455646</v>
      </c>
    </row>
    <row r="7" spans="2:11" x14ac:dyDescent="0.2">
      <c r="B7" s="11">
        <v>524</v>
      </c>
      <c r="C7" s="29">
        <v>262</v>
      </c>
      <c r="D7" s="13">
        <v>0</v>
      </c>
      <c r="E7" s="30">
        <f t="shared" si="0"/>
        <v>0</v>
      </c>
      <c r="F7" s="13">
        <v>7</v>
      </c>
      <c r="G7" s="30">
        <f t="shared" si="1"/>
        <v>840</v>
      </c>
      <c r="H7" s="13">
        <v>16</v>
      </c>
      <c r="I7" s="30">
        <f t="shared" si="2"/>
        <v>240</v>
      </c>
      <c r="J7" s="13">
        <f>6*7*60*$D$1</f>
        <v>2142</v>
      </c>
      <c r="K7" s="31">
        <f t="shared" si="4"/>
        <v>0.6265172735760971</v>
      </c>
    </row>
    <row r="8" spans="2:11" x14ac:dyDescent="0.2">
      <c r="B8" s="11" t="s">
        <v>505</v>
      </c>
      <c r="C8" s="29">
        <v>288</v>
      </c>
      <c r="D8" s="13">
        <v>2</v>
      </c>
      <c r="E8" s="30">
        <f t="shared" si="0"/>
        <v>480</v>
      </c>
      <c r="F8" s="13">
        <v>4</v>
      </c>
      <c r="G8" s="30">
        <f t="shared" si="1"/>
        <v>480</v>
      </c>
      <c r="H8" s="13">
        <v>10</v>
      </c>
      <c r="I8" s="30">
        <f t="shared" si="2"/>
        <v>150</v>
      </c>
      <c r="J8" s="13">
        <f t="shared" si="3"/>
        <v>4284</v>
      </c>
      <c r="K8" s="31">
        <f t="shared" si="4"/>
        <v>0.32633053221288516</v>
      </c>
    </row>
    <row r="9" spans="2:11" x14ac:dyDescent="0.2">
      <c r="B9" s="11" t="s">
        <v>513</v>
      </c>
      <c r="C9" s="29">
        <v>795</v>
      </c>
      <c r="D9" s="13">
        <v>0</v>
      </c>
      <c r="E9" s="30">
        <f t="shared" si="0"/>
        <v>0</v>
      </c>
      <c r="F9" s="13">
        <v>4</v>
      </c>
      <c r="G9" s="30">
        <f t="shared" si="1"/>
        <v>480</v>
      </c>
      <c r="H9" s="13">
        <v>24</v>
      </c>
      <c r="I9" s="30">
        <f t="shared" si="2"/>
        <v>360</v>
      </c>
      <c r="J9" s="13">
        <f>6*7*60*$D$1</f>
        <v>2142</v>
      </c>
      <c r="K9" s="31">
        <f t="shared" si="4"/>
        <v>0.76330532212885149</v>
      </c>
    </row>
    <row r="10" spans="2:11" x14ac:dyDescent="0.2">
      <c r="B10" s="11" t="s">
        <v>520</v>
      </c>
      <c r="C10" s="29">
        <v>707</v>
      </c>
      <c r="D10" s="13">
        <v>1</v>
      </c>
      <c r="E10" s="30">
        <f>D10*7*60</f>
        <v>420</v>
      </c>
      <c r="F10" s="13">
        <v>5</v>
      </c>
      <c r="G10" s="30">
        <f t="shared" si="1"/>
        <v>600</v>
      </c>
      <c r="H10" s="13">
        <v>23</v>
      </c>
      <c r="I10" s="30">
        <f t="shared" si="2"/>
        <v>345</v>
      </c>
      <c r="J10" s="13">
        <f>6*7*60*$D$1</f>
        <v>2142</v>
      </c>
      <c r="K10" s="31">
        <f t="shared" si="4"/>
        <v>0.9673202614379085</v>
      </c>
    </row>
  </sheetData>
  <conditionalFormatting sqref="K4:K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{7672DC94-37EB-4203-A92B-A7D4B1390733}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72DC94-37EB-4203-A92B-A7D4B1390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E25E-FAF9-4622-8955-193809EB9C13}">
  <sheetPr filterMode="1"/>
  <dimension ref="A1:K267"/>
  <sheetViews>
    <sheetView topLeftCell="A153" workbookViewId="0">
      <selection activeCell="B5" sqref="B5:H262"/>
    </sheetView>
  </sheetViews>
  <sheetFormatPr defaultRowHeight="12.75" x14ac:dyDescent="0.2"/>
  <cols>
    <col min="1" max="1" width="11" bestFit="1" customWidth="1"/>
    <col min="2" max="2" width="10.42578125" bestFit="1" customWidth="1"/>
    <col min="3" max="3" width="45.42578125" bestFit="1" customWidth="1"/>
    <col min="4" max="4" width="8.85546875" customWidth="1"/>
    <col min="5" max="5" width="14.5703125" customWidth="1"/>
    <col min="6" max="6" width="17.28515625" customWidth="1"/>
    <col min="7" max="7" width="36.140625" customWidth="1"/>
    <col min="8" max="8" width="10.7109375" customWidth="1"/>
    <col min="9" max="9" width="19.5703125" customWidth="1"/>
    <col min="10" max="10" width="49.85546875" customWidth="1"/>
    <col min="11" max="11" width="25.85546875" bestFit="1" customWidth="1"/>
  </cols>
  <sheetData>
    <row r="1" spans="1:11" x14ac:dyDescent="0.2">
      <c r="A1" s="2" t="s">
        <v>682</v>
      </c>
      <c r="B1" s="2" t="s">
        <v>459</v>
      </c>
      <c r="C1" s="2" t="s">
        <v>460</v>
      </c>
      <c r="D1" s="3" t="s">
        <v>462</v>
      </c>
      <c r="E1" s="4" t="s">
        <v>463</v>
      </c>
      <c r="F1" s="4" t="s">
        <v>464</v>
      </c>
      <c r="G1" s="4" t="s">
        <v>465</v>
      </c>
      <c r="H1" s="5" t="s">
        <v>466</v>
      </c>
      <c r="I1" s="33" t="s">
        <v>683</v>
      </c>
      <c r="J1" s="3" t="s">
        <v>471</v>
      </c>
      <c r="K1" s="20" t="s">
        <v>684</v>
      </c>
    </row>
    <row r="2" spans="1:11" hidden="1" x14ac:dyDescent="0.2">
      <c r="A2" s="10">
        <v>2000026030</v>
      </c>
      <c r="B2" s="10" t="s">
        <v>685</v>
      </c>
      <c r="C2" s="10" t="s">
        <v>686</v>
      </c>
      <c r="D2" s="34">
        <v>8</v>
      </c>
      <c r="E2" s="11">
        <v>3100021593</v>
      </c>
      <c r="F2" s="35" t="s">
        <v>511</v>
      </c>
      <c r="G2" s="36" t="s">
        <v>512</v>
      </c>
      <c r="H2" s="12">
        <v>45163</v>
      </c>
      <c r="I2" s="12">
        <v>45170</v>
      </c>
      <c r="J2" s="10"/>
      <c r="K2" s="14" t="s">
        <v>693</v>
      </c>
    </row>
    <row r="3" spans="1:11" hidden="1" x14ac:dyDescent="0.2">
      <c r="A3" s="10">
        <v>2000026035</v>
      </c>
      <c r="B3" s="10" t="s">
        <v>688</v>
      </c>
      <c r="C3" s="10" t="s">
        <v>689</v>
      </c>
      <c r="D3" s="34">
        <v>6</v>
      </c>
      <c r="E3" s="11">
        <v>3100021611</v>
      </c>
      <c r="F3" s="35" t="s">
        <v>629</v>
      </c>
      <c r="G3" s="36" t="s">
        <v>630</v>
      </c>
      <c r="H3" s="12">
        <v>45167</v>
      </c>
      <c r="I3" s="12">
        <v>45169</v>
      </c>
      <c r="J3" s="10"/>
      <c r="K3" s="38" t="s">
        <v>472</v>
      </c>
    </row>
    <row r="4" spans="1:11" hidden="1" x14ac:dyDescent="0.2">
      <c r="A4" s="10">
        <v>2000025775</v>
      </c>
      <c r="B4" s="10" t="s">
        <v>690</v>
      </c>
      <c r="C4" s="10" t="s">
        <v>691</v>
      </c>
      <c r="D4" s="34">
        <v>1261</v>
      </c>
      <c r="E4" s="11">
        <v>3100021296</v>
      </c>
      <c r="F4" s="35" t="s">
        <v>591</v>
      </c>
      <c r="G4" s="36" t="s">
        <v>592</v>
      </c>
      <c r="H4" s="12">
        <v>45169</v>
      </c>
      <c r="I4" s="12" t="s">
        <v>0</v>
      </c>
      <c r="J4" s="10" t="s">
        <v>692</v>
      </c>
      <c r="K4" s="13" t="s">
        <v>693</v>
      </c>
    </row>
    <row r="5" spans="1:11" x14ac:dyDescent="0.2">
      <c r="A5" s="10">
        <v>2000025336</v>
      </c>
      <c r="B5" s="10" t="s">
        <v>694</v>
      </c>
      <c r="C5" s="10" t="s">
        <v>579</v>
      </c>
      <c r="D5" s="34">
        <v>250</v>
      </c>
      <c r="E5" s="11">
        <v>3100021083</v>
      </c>
      <c r="F5" s="35" t="s">
        <v>580</v>
      </c>
      <c r="G5" s="36" t="s">
        <v>504</v>
      </c>
      <c r="H5" s="12">
        <v>45172</v>
      </c>
      <c r="I5" s="12" t="s">
        <v>0</v>
      </c>
      <c r="J5" s="10" t="s">
        <v>695</v>
      </c>
      <c r="K5" s="13" t="s">
        <v>687</v>
      </c>
    </row>
    <row r="6" spans="1:11" hidden="1" x14ac:dyDescent="0.2">
      <c r="A6" s="10">
        <v>2000026003</v>
      </c>
      <c r="B6" s="10" t="s">
        <v>696</v>
      </c>
      <c r="C6" s="10" t="s">
        <v>697</v>
      </c>
      <c r="D6" s="34">
        <v>8</v>
      </c>
      <c r="E6" s="11">
        <v>3100021575</v>
      </c>
      <c r="F6" s="35" t="s">
        <v>638</v>
      </c>
      <c r="G6" s="36" t="s">
        <v>639</v>
      </c>
      <c r="H6" s="12">
        <v>45173</v>
      </c>
      <c r="I6" s="12" t="s">
        <v>0</v>
      </c>
      <c r="J6" s="10" t="s">
        <v>698</v>
      </c>
      <c r="K6" s="38" t="s">
        <v>472</v>
      </c>
    </row>
    <row r="7" spans="1:11" hidden="1" x14ac:dyDescent="0.2">
      <c r="A7" s="10">
        <v>2000026031</v>
      </c>
      <c r="B7" s="10" t="s">
        <v>699</v>
      </c>
      <c r="C7" s="10" t="s">
        <v>700</v>
      </c>
      <c r="D7" s="34">
        <v>30</v>
      </c>
      <c r="E7" s="11">
        <v>3100021600</v>
      </c>
      <c r="F7" s="35" t="s">
        <v>668</v>
      </c>
      <c r="G7" s="36" t="s">
        <v>669</v>
      </c>
      <c r="H7" s="12">
        <v>45173</v>
      </c>
      <c r="I7" s="12">
        <v>45172</v>
      </c>
      <c r="J7" s="10"/>
      <c r="K7" s="38" t="s">
        <v>472</v>
      </c>
    </row>
    <row r="8" spans="1:11" hidden="1" x14ac:dyDescent="0.2">
      <c r="A8" s="10">
        <v>2000025608</v>
      </c>
      <c r="B8" s="10" t="s">
        <v>701</v>
      </c>
      <c r="C8" s="10" t="s">
        <v>702</v>
      </c>
      <c r="D8" s="34">
        <v>12</v>
      </c>
      <c r="E8" s="11">
        <v>3100021261</v>
      </c>
      <c r="F8" s="35" t="s">
        <v>632</v>
      </c>
      <c r="G8" s="36" t="s">
        <v>633</v>
      </c>
      <c r="H8" s="12">
        <v>45174</v>
      </c>
      <c r="I8" s="12">
        <v>45170</v>
      </c>
      <c r="J8" s="10"/>
      <c r="K8" s="38" t="s">
        <v>472</v>
      </c>
    </row>
    <row r="9" spans="1:11" hidden="1" x14ac:dyDescent="0.2">
      <c r="A9" s="10">
        <v>2000025609</v>
      </c>
      <c r="B9" s="10" t="s">
        <v>701</v>
      </c>
      <c r="C9" s="10" t="s">
        <v>702</v>
      </c>
      <c r="D9" s="34">
        <v>108</v>
      </c>
      <c r="E9" s="11">
        <v>3100021261</v>
      </c>
      <c r="F9" s="35" t="s">
        <v>632</v>
      </c>
      <c r="G9" s="36" t="s">
        <v>633</v>
      </c>
      <c r="H9" s="12">
        <v>45174</v>
      </c>
      <c r="I9" s="12">
        <v>45170</v>
      </c>
      <c r="J9" s="10"/>
      <c r="K9" s="38" t="s">
        <v>472</v>
      </c>
    </row>
    <row r="10" spans="1:11" hidden="1" x14ac:dyDescent="0.2">
      <c r="A10" s="10">
        <v>2000025610</v>
      </c>
      <c r="B10" s="10" t="s">
        <v>701</v>
      </c>
      <c r="C10" s="10" t="s">
        <v>702</v>
      </c>
      <c r="D10" s="34">
        <v>12</v>
      </c>
      <c r="E10" s="11">
        <v>3100021261</v>
      </c>
      <c r="F10" s="35" t="s">
        <v>632</v>
      </c>
      <c r="G10" s="36" t="s">
        <v>633</v>
      </c>
      <c r="H10" s="12">
        <v>45174</v>
      </c>
      <c r="I10" s="12">
        <v>45170</v>
      </c>
      <c r="J10" s="10"/>
      <c r="K10" s="38" t="s">
        <v>472</v>
      </c>
    </row>
    <row r="11" spans="1:11" hidden="1" x14ac:dyDescent="0.2">
      <c r="A11" s="10">
        <v>2000025611</v>
      </c>
      <c r="B11" s="10" t="s">
        <v>703</v>
      </c>
      <c r="C11" s="10" t="s">
        <v>704</v>
      </c>
      <c r="D11" s="34">
        <v>24</v>
      </c>
      <c r="E11" s="11">
        <v>3100021261</v>
      </c>
      <c r="F11" s="35" t="s">
        <v>632</v>
      </c>
      <c r="G11" s="36" t="s">
        <v>633</v>
      </c>
      <c r="H11" s="12">
        <v>45174</v>
      </c>
      <c r="I11" s="12">
        <v>45170</v>
      </c>
      <c r="J11" s="10"/>
      <c r="K11" s="38" t="s">
        <v>472</v>
      </c>
    </row>
    <row r="12" spans="1:11" hidden="1" x14ac:dyDescent="0.2">
      <c r="A12" s="10">
        <v>2000025617</v>
      </c>
      <c r="B12" s="10" t="s">
        <v>705</v>
      </c>
      <c r="C12" s="10" t="s">
        <v>706</v>
      </c>
      <c r="D12" s="34">
        <v>12</v>
      </c>
      <c r="E12" s="11">
        <v>3100021261</v>
      </c>
      <c r="F12" s="35" t="s">
        <v>632</v>
      </c>
      <c r="G12" s="36" t="s">
        <v>633</v>
      </c>
      <c r="H12" s="12">
        <v>45174</v>
      </c>
      <c r="I12" s="12">
        <v>45170</v>
      </c>
      <c r="J12" s="10"/>
      <c r="K12" s="38" t="s">
        <v>472</v>
      </c>
    </row>
    <row r="13" spans="1:11" hidden="1" x14ac:dyDescent="0.2">
      <c r="A13" s="10">
        <v>2000025618</v>
      </c>
      <c r="B13" s="10" t="s">
        <v>705</v>
      </c>
      <c r="C13" s="10" t="s">
        <v>706</v>
      </c>
      <c r="D13" s="34">
        <v>6</v>
      </c>
      <c r="E13" s="11">
        <v>3100021261</v>
      </c>
      <c r="F13" s="35" t="s">
        <v>632</v>
      </c>
      <c r="G13" s="36" t="s">
        <v>633</v>
      </c>
      <c r="H13" s="12">
        <v>45174</v>
      </c>
      <c r="I13" s="12">
        <v>45170</v>
      </c>
      <c r="J13" s="10"/>
      <c r="K13" s="38" t="s">
        <v>472</v>
      </c>
    </row>
    <row r="14" spans="1:11" hidden="1" x14ac:dyDescent="0.2">
      <c r="A14" s="10">
        <v>2000025619</v>
      </c>
      <c r="B14" s="10" t="s">
        <v>705</v>
      </c>
      <c r="C14" s="10" t="s">
        <v>706</v>
      </c>
      <c r="D14" s="34">
        <v>6</v>
      </c>
      <c r="E14" s="11">
        <v>3100021261</v>
      </c>
      <c r="F14" s="35" t="s">
        <v>632</v>
      </c>
      <c r="G14" s="36" t="s">
        <v>633</v>
      </c>
      <c r="H14" s="12">
        <v>45174</v>
      </c>
      <c r="I14" s="12">
        <v>45170</v>
      </c>
      <c r="J14" s="10"/>
      <c r="K14" s="38" t="s">
        <v>472</v>
      </c>
    </row>
    <row r="15" spans="1:11" hidden="1" x14ac:dyDescent="0.2">
      <c r="A15" s="10">
        <v>2000025699</v>
      </c>
      <c r="B15" s="10" t="s">
        <v>707</v>
      </c>
      <c r="C15" s="10" t="s">
        <v>708</v>
      </c>
      <c r="D15" s="34">
        <v>180</v>
      </c>
      <c r="E15" s="11">
        <v>3100021512</v>
      </c>
      <c r="F15" s="35" t="s">
        <v>502</v>
      </c>
      <c r="G15" s="36" t="s">
        <v>503</v>
      </c>
      <c r="H15" s="12">
        <v>45174</v>
      </c>
      <c r="I15" s="12">
        <v>45142</v>
      </c>
      <c r="J15" s="10" t="s">
        <v>709</v>
      </c>
      <c r="K15" s="13" t="s">
        <v>710</v>
      </c>
    </row>
    <row r="16" spans="1:11" x14ac:dyDescent="0.2">
      <c r="A16" s="10">
        <v>2000025429</v>
      </c>
      <c r="B16" s="10" t="s">
        <v>711</v>
      </c>
      <c r="C16" s="10" t="s">
        <v>712</v>
      </c>
      <c r="D16" s="34">
        <v>22</v>
      </c>
      <c r="E16" s="11">
        <v>3200001147</v>
      </c>
      <c r="F16" s="35" t="s">
        <v>472</v>
      </c>
      <c r="G16" s="36" t="s">
        <v>631</v>
      </c>
      <c r="H16" s="12">
        <v>45176</v>
      </c>
      <c r="I16" s="12">
        <v>45170</v>
      </c>
      <c r="J16" s="10"/>
      <c r="K16" s="13" t="s">
        <v>687</v>
      </c>
    </row>
    <row r="17" spans="1:11" hidden="1" x14ac:dyDescent="0.2">
      <c r="A17" s="10">
        <v>2000025849</v>
      </c>
      <c r="B17" s="10" t="s">
        <v>713</v>
      </c>
      <c r="C17" s="10" t="s">
        <v>714</v>
      </c>
      <c r="D17" s="34">
        <v>56</v>
      </c>
      <c r="E17" s="11">
        <v>3100021389</v>
      </c>
      <c r="F17" s="35" t="s">
        <v>715</v>
      </c>
      <c r="G17" s="36" t="s">
        <v>716</v>
      </c>
      <c r="H17" s="12">
        <v>45176</v>
      </c>
      <c r="I17" s="12">
        <v>45173</v>
      </c>
      <c r="J17" s="10"/>
      <c r="K17" s="38" t="s">
        <v>472</v>
      </c>
    </row>
    <row r="18" spans="1:11" hidden="1" x14ac:dyDescent="0.2">
      <c r="A18" s="10">
        <v>2000025850</v>
      </c>
      <c r="B18" s="10" t="s">
        <v>713</v>
      </c>
      <c r="C18" s="10" t="s">
        <v>714</v>
      </c>
      <c r="D18" s="34">
        <v>88</v>
      </c>
      <c r="E18" s="11">
        <v>3100021389</v>
      </c>
      <c r="F18" s="35" t="s">
        <v>715</v>
      </c>
      <c r="G18" s="36" t="s">
        <v>716</v>
      </c>
      <c r="H18" s="12">
        <v>45176</v>
      </c>
      <c r="I18" s="12">
        <v>45173</v>
      </c>
      <c r="J18" s="10"/>
      <c r="K18" s="38" t="s">
        <v>472</v>
      </c>
    </row>
    <row r="19" spans="1:11" x14ac:dyDescent="0.2">
      <c r="A19" s="10">
        <v>2000025907</v>
      </c>
      <c r="B19" s="10" t="s">
        <v>711</v>
      </c>
      <c r="C19" s="10" t="s">
        <v>712</v>
      </c>
      <c r="D19" s="34">
        <v>10</v>
      </c>
      <c r="E19" s="11">
        <v>3200001147</v>
      </c>
      <c r="F19" s="35" t="s">
        <v>472</v>
      </c>
      <c r="G19" s="36" t="s">
        <v>631</v>
      </c>
      <c r="H19" s="12">
        <v>45176</v>
      </c>
      <c r="I19" s="12">
        <v>45170</v>
      </c>
      <c r="J19" s="10"/>
      <c r="K19" s="13" t="s">
        <v>687</v>
      </c>
    </row>
    <row r="20" spans="1:11" hidden="1" x14ac:dyDescent="0.2">
      <c r="A20" s="10">
        <v>2000025925</v>
      </c>
      <c r="B20" s="10" t="s">
        <v>713</v>
      </c>
      <c r="C20" s="10" t="s">
        <v>714</v>
      </c>
      <c r="D20" s="34">
        <v>12</v>
      </c>
      <c r="E20" s="11">
        <v>3100021389</v>
      </c>
      <c r="F20" s="35" t="s">
        <v>715</v>
      </c>
      <c r="G20" s="36" t="s">
        <v>716</v>
      </c>
      <c r="H20" s="12">
        <v>45176</v>
      </c>
      <c r="I20" s="12">
        <v>45173</v>
      </c>
      <c r="J20" s="10"/>
      <c r="K20" s="38" t="s">
        <v>472</v>
      </c>
    </row>
    <row r="21" spans="1:11" hidden="1" x14ac:dyDescent="0.2">
      <c r="A21" s="10">
        <v>2000025972</v>
      </c>
      <c r="B21" s="10" t="s">
        <v>713</v>
      </c>
      <c r="C21" s="10" t="s">
        <v>714</v>
      </c>
      <c r="D21" s="34">
        <v>180</v>
      </c>
      <c r="E21" s="11">
        <v>3100021389</v>
      </c>
      <c r="F21" s="35" t="s">
        <v>715</v>
      </c>
      <c r="G21" s="36" t="s">
        <v>716</v>
      </c>
      <c r="H21" s="12">
        <v>45176</v>
      </c>
      <c r="I21" s="12">
        <v>45173</v>
      </c>
      <c r="J21" s="10"/>
      <c r="K21" s="38" t="s">
        <v>472</v>
      </c>
    </row>
    <row r="22" spans="1:11" hidden="1" x14ac:dyDescent="0.2">
      <c r="A22" s="10">
        <v>2000026000</v>
      </c>
      <c r="B22" s="10" t="s">
        <v>713</v>
      </c>
      <c r="C22" s="10" t="s">
        <v>714</v>
      </c>
      <c r="D22" s="34">
        <v>152</v>
      </c>
      <c r="E22" s="11">
        <v>3100021389</v>
      </c>
      <c r="F22" s="35" t="s">
        <v>715</v>
      </c>
      <c r="G22" s="36" t="s">
        <v>716</v>
      </c>
      <c r="H22" s="12">
        <v>45176</v>
      </c>
      <c r="I22" s="12">
        <v>45173</v>
      </c>
      <c r="J22" s="10"/>
      <c r="K22" s="38" t="s">
        <v>472</v>
      </c>
    </row>
    <row r="23" spans="1:11" hidden="1" x14ac:dyDescent="0.2">
      <c r="A23" s="10">
        <v>2000025396</v>
      </c>
      <c r="B23" s="10" t="s">
        <v>717</v>
      </c>
      <c r="C23" s="10" t="s">
        <v>718</v>
      </c>
      <c r="D23" s="34">
        <v>54</v>
      </c>
      <c r="E23" s="11">
        <v>3100021509</v>
      </c>
      <c r="F23" s="35" t="s">
        <v>482</v>
      </c>
      <c r="G23" s="36" t="s">
        <v>483</v>
      </c>
      <c r="H23" s="12">
        <v>45177</v>
      </c>
      <c r="I23" s="12">
        <v>45170</v>
      </c>
      <c r="J23" s="10"/>
      <c r="K23" s="13" t="s">
        <v>472</v>
      </c>
    </row>
    <row r="24" spans="1:11" hidden="1" x14ac:dyDescent="0.2">
      <c r="A24" s="10">
        <v>2000025773</v>
      </c>
      <c r="B24" s="10" t="s">
        <v>717</v>
      </c>
      <c r="C24" s="10" t="s">
        <v>718</v>
      </c>
      <c r="D24" s="34">
        <v>2</v>
      </c>
      <c r="E24" s="11">
        <v>3100021509</v>
      </c>
      <c r="F24" s="35" t="s">
        <v>482</v>
      </c>
      <c r="G24" s="36" t="s">
        <v>483</v>
      </c>
      <c r="H24" s="12">
        <v>45177</v>
      </c>
      <c r="I24" s="12">
        <v>45170</v>
      </c>
      <c r="J24" s="10"/>
      <c r="K24" s="13" t="s">
        <v>472</v>
      </c>
    </row>
    <row r="25" spans="1:11" hidden="1" x14ac:dyDescent="0.2">
      <c r="A25" s="10">
        <v>2000025926</v>
      </c>
      <c r="B25" s="10" t="s">
        <v>719</v>
      </c>
      <c r="C25" s="10" t="s">
        <v>599</v>
      </c>
      <c r="D25" s="34">
        <v>880</v>
      </c>
      <c r="E25" s="11">
        <v>3100021517</v>
      </c>
      <c r="F25" s="35" t="s">
        <v>600</v>
      </c>
      <c r="G25" s="36" t="s">
        <v>601</v>
      </c>
      <c r="H25" s="12">
        <v>45177</v>
      </c>
      <c r="I25" s="12">
        <v>45174</v>
      </c>
      <c r="J25" s="10"/>
      <c r="K25" s="38" t="s">
        <v>472</v>
      </c>
    </row>
    <row r="26" spans="1:11" hidden="1" x14ac:dyDescent="0.2">
      <c r="A26" s="10">
        <v>2000025971</v>
      </c>
      <c r="B26" s="10" t="s">
        <v>719</v>
      </c>
      <c r="C26" s="10" t="s">
        <v>599</v>
      </c>
      <c r="D26" s="34">
        <v>20</v>
      </c>
      <c r="E26" s="11">
        <v>3100021517</v>
      </c>
      <c r="F26" s="35" t="s">
        <v>600</v>
      </c>
      <c r="G26" s="36" t="s">
        <v>601</v>
      </c>
      <c r="H26" s="12">
        <v>45177</v>
      </c>
      <c r="I26" s="12">
        <v>45174</v>
      </c>
      <c r="J26" s="10"/>
      <c r="K26" s="38" t="s">
        <v>472</v>
      </c>
    </row>
    <row r="27" spans="1:11" x14ac:dyDescent="0.2">
      <c r="A27" s="10">
        <v>2000026043</v>
      </c>
      <c r="B27" s="10" t="s">
        <v>720</v>
      </c>
      <c r="C27" s="10" t="s">
        <v>653</v>
      </c>
      <c r="D27" s="34">
        <v>4</v>
      </c>
      <c r="E27" s="11">
        <v>3100021615</v>
      </c>
      <c r="F27" s="35" t="s">
        <v>654</v>
      </c>
      <c r="G27" s="36" t="s">
        <v>655</v>
      </c>
      <c r="H27" s="12">
        <v>45177</v>
      </c>
      <c r="I27" s="12">
        <v>45175</v>
      </c>
      <c r="J27" s="10"/>
      <c r="K27" s="38" t="s">
        <v>687</v>
      </c>
    </row>
    <row r="28" spans="1:11" x14ac:dyDescent="0.2">
      <c r="A28" s="10">
        <v>2000026048</v>
      </c>
      <c r="B28" s="10" t="s">
        <v>721</v>
      </c>
      <c r="C28" s="10" t="s">
        <v>622</v>
      </c>
      <c r="D28" s="34">
        <v>48</v>
      </c>
      <c r="E28" s="11">
        <v>3100021234</v>
      </c>
      <c r="F28" s="35" t="s">
        <v>518</v>
      </c>
      <c r="G28" s="36" t="s">
        <v>500</v>
      </c>
      <c r="H28" s="12">
        <v>45177</v>
      </c>
      <c r="I28" s="12"/>
      <c r="J28" s="10" t="s">
        <v>692</v>
      </c>
      <c r="K28" s="38" t="s">
        <v>687</v>
      </c>
    </row>
    <row r="29" spans="1:11" x14ac:dyDescent="0.2">
      <c r="A29" s="10">
        <v>2000024703</v>
      </c>
      <c r="B29" s="10" t="s">
        <v>722</v>
      </c>
      <c r="C29" s="10" t="s">
        <v>723</v>
      </c>
      <c r="D29" s="34">
        <v>21000</v>
      </c>
      <c r="E29" s="11">
        <v>3300000149</v>
      </c>
      <c r="F29" s="35" t="s">
        <v>472</v>
      </c>
      <c r="G29" s="36" t="s">
        <v>623</v>
      </c>
      <c r="H29" s="12">
        <v>45180</v>
      </c>
      <c r="I29" s="12"/>
      <c r="J29" s="10" t="s">
        <v>724</v>
      </c>
      <c r="K29" s="38" t="s">
        <v>687</v>
      </c>
    </row>
    <row r="30" spans="1:11" hidden="1" x14ac:dyDescent="0.2">
      <c r="A30" s="10">
        <v>2000024707</v>
      </c>
      <c r="B30" s="10" t="s">
        <v>725</v>
      </c>
      <c r="C30" s="10" t="s">
        <v>726</v>
      </c>
      <c r="D30" s="34">
        <v>8000</v>
      </c>
      <c r="E30" s="11">
        <v>3300000149</v>
      </c>
      <c r="F30" s="35" t="s">
        <v>472</v>
      </c>
      <c r="G30" s="36" t="s">
        <v>623</v>
      </c>
      <c r="H30" s="12">
        <v>45180</v>
      </c>
      <c r="I30" s="12"/>
      <c r="J30" s="10" t="s">
        <v>724</v>
      </c>
      <c r="K30" s="38" t="s">
        <v>693</v>
      </c>
    </row>
    <row r="31" spans="1:11" hidden="1" x14ac:dyDescent="0.2">
      <c r="A31" s="10">
        <v>2000024709</v>
      </c>
      <c r="B31" s="10" t="s">
        <v>727</v>
      </c>
      <c r="C31" s="10" t="s">
        <v>728</v>
      </c>
      <c r="D31" s="34">
        <v>8000</v>
      </c>
      <c r="E31" s="11">
        <v>3300000149</v>
      </c>
      <c r="F31" s="35" t="s">
        <v>472</v>
      </c>
      <c r="G31" s="36" t="s">
        <v>623</v>
      </c>
      <c r="H31" s="12">
        <v>45180</v>
      </c>
      <c r="I31" s="12"/>
      <c r="J31" s="10" t="s">
        <v>724</v>
      </c>
      <c r="K31" s="38" t="s">
        <v>693</v>
      </c>
    </row>
    <row r="32" spans="1:11" x14ac:dyDescent="0.2">
      <c r="A32" s="10">
        <v>2000024713</v>
      </c>
      <c r="B32" s="10" t="s">
        <v>729</v>
      </c>
      <c r="C32" s="10" t="s">
        <v>730</v>
      </c>
      <c r="D32" s="34">
        <v>1500</v>
      </c>
      <c r="E32" s="11">
        <v>3300000149</v>
      </c>
      <c r="F32" s="35" t="s">
        <v>472</v>
      </c>
      <c r="G32" s="36" t="s">
        <v>623</v>
      </c>
      <c r="H32" s="12">
        <v>45180</v>
      </c>
      <c r="I32" s="12"/>
      <c r="J32" s="10" t="s">
        <v>724</v>
      </c>
      <c r="K32" s="38" t="s">
        <v>687</v>
      </c>
    </row>
    <row r="33" spans="1:11" hidden="1" x14ac:dyDescent="0.2">
      <c r="A33" s="10">
        <v>2000024717</v>
      </c>
      <c r="B33" s="10" t="s">
        <v>731</v>
      </c>
      <c r="C33" s="10" t="s">
        <v>732</v>
      </c>
      <c r="D33" s="34">
        <v>4000</v>
      </c>
      <c r="E33" s="11">
        <v>3300000149</v>
      </c>
      <c r="F33" s="35" t="s">
        <v>472</v>
      </c>
      <c r="G33" s="36" t="s">
        <v>623</v>
      </c>
      <c r="H33" s="12">
        <v>45180</v>
      </c>
      <c r="I33" s="12"/>
      <c r="J33" s="10" t="s">
        <v>724</v>
      </c>
      <c r="K33" s="38" t="s">
        <v>693</v>
      </c>
    </row>
    <row r="34" spans="1:11" hidden="1" x14ac:dyDescent="0.2">
      <c r="A34" s="10">
        <v>2000024718</v>
      </c>
      <c r="B34" s="10" t="s">
        <v>733</v>
      </c>
      <c r="C34" s="10" t="s">
        <v>734</v>
      </c>
      <c r="D34" s="34">
        <v>1500</v>
      </c>
      <c r="E34" s="11">
        <v>3300000149</v>
      </c>
      <c r="F34" s="35" t="s">
        <v>472</v>
      </c>
      <c r="G34" s="36" t="s">
        <v>623</v>
      </c>
      <c r="H34" s="12">
        <v>45180</v>
      </c>
      <c r="I34" s="12"/>
      <c r="J34" s="10" t="s">
        <v>724</v>
      </c>
      <c r="K34" s="38" t="s">
        <v>693</v>
      </c>
    </row>
    <row r="35" spans="1:11" hidden="1" x14ac:dyDescent="0.2">
      <c r="A35" s="10">
        <v>2000024719</v>
      </c>
      <c r="B35" s="10" t="s">
        <v>735</v>
      </c>
      <c r="C35" s="10" t="s">
        <v>736</v>
      </c>
      <c r="D35" s="34">
        <v>4000</v>
      </c>
      <c r="E35" s="11">
        <v>3300000149</v>
      </c>
      <c r="F35" s="35" t="s">
        <v>472</v>
      </c>
      <c r="G35" s="36" t="s">
        <v>623</v>
      </c>
      <c r="H35" s="12">
        <v>45180</v>
      </c>
      <c r="I35" s="12"/>
      <c r="J35" s="10" t="s">
        <v>724</v>
      </c>
      <c r="K35" s="38" t="s">
        <v>693</v>
      </c>
    </row>
    <row r="36" spans="1:11" x14ac:dyDescent="0.2">
      <c r="A36" s="10">
        <v>2000024744</v>
      </c>
      <c r="B36" s="10" t="s">
        <v>737</v>
      </c>
      <c r="C36" s="10" t="s">
        <v>738</v>
      </c>
      <c r="D36" s="34">
        <v>19000</v>
      </c>
      <c r="E36" s="11">
        <v>3300000149</v>
      </c>
      <c r="F36" s="35" t="s">
        <v>472</v>
      </c>
      <c r="G36" s="36" t="s">
        <v>623</v>
      </c>
      <c r="H36" s="12">
        <v>45180</v>
      </c>
      <c r="I36" s="12"/>
      <c r="J36" s="10" t="s">
        <v>724</v>
      </c>
      <c r="K36" s="38" t="s">
        <v>687</v>
      </c>
    </row>
    <row r="37" spans="1:11" x14ac:dyDescent="0.2">
      <c r="A37" s="10">
        <v>2000025929</v>
      </c>
      <c r="B37" s="10" t="s">
        <v>737</v>
      </c>
      <c r="C37" s="10" t="s">
        <v>738</v>
      </c>
      <c r="D37" s="34">
        <v>241</v>
      </c>
      <c r="E37" s="11">
        <v>3300000149</v>
      </c>
      <c r="F37" s="35" t="s">
        <v>472</v>
      </c>
      <c r="G37" s="36" t="s">
        <v>623</v>
      </c>
      <c r="H37" s="12">
        <v>45180</v>
      </c>
      <c r="I37" s="12"/>
      <c r="J37" s="10" t="s">
        <v>724</v>
      </c>
      <c r="K37" s="38" t="s">
        <v>687</v>
      </c>
    </row>
    <row r="38" spans="1:11" x14ac:dyDescent="0.2">
      <c r="A38" s="10">
        <v>2000025930</v>
      </c>
      <c r="B38" s="10" t="s">
        <v>722</v>
      </c>
      <c r="C38" s="10" t="s">
        <v>723</v>
      </c>
      <c r="D38" s="34">
        <v>868</v>
      </c>
      <c r="E38" s="11">
        <v>3300000149</v>
      </c>
      <c r="F38" s="35" t="s">
        <v>472</v>
      </c>
      <c r="G38" s="36" t="s">
        <v>623</v>
      </c>
      <c r="H38" s="12">
        <v>45180</v>
      </c>
      <c r="I38" s="12"/>
      <c r="J38" s="10" t="s">
        <v>724</v>
      </c>
      <c r="K38" s="38" t="s">
        <v>687</v>
      </c>
    </row>
    <row r="39" spans="1:11" hidden="1" x14ac:dyDescent="0.2">
      <c r="A39" s="10">
        <v>2000025710</v>
      </c>
      <c r="B39" s="10" t="s">
        <v>739</v>
      </c>
      <c r="C39" s="10" t="s">
        <v>612</v>
      </c>
      <c r="D39" s="34">
        <v>32</v>
      </c>
      <c r="E39" s="11">
        <v>3100021359</v>
      </c>
      <c r="F39" s="35" t="s">
        <v>484</v>
      </c>
      <c r="G39" s="36" t="s">
        <v>481</v>
      </c>
      <c r="H39" s="12">
        <v>45180</v>
      </c>
      <c r="I39" s="12">
        <v>45180</v>
      </c>
      <c r="J39" s="10" t="s">
        <v>740</v>
      </c>
      <c r="K39" s="38" t="s">
        <v>472</v>
      </c>
    </row>
    <row r="40" spans="1:11" hidden="1" x14ac:dyDescent="0.2">
      <c r="A40" s="10">
        <v>2000025711</v>
      </c>
      <c r="B40" s="10" t="s">
        <v>741</v>
      </c>
      <c r="C40" s="10" t="s">
        <v>613</v>
      </c>
      <c r="D40" s="34">
        <v>24</v>
      </c>
      <c r="E40" s="11">
        <v>3100021359</v>
      </c>
      <c r="F40" s="35" t="s">
        <v>484</v>
      </c>
      <c r="G40" s="36" t="s">
        <v>481</v>
      </c>
      <c r="H40" s="12">
        <v>45180</v>
      </c>
      <c r="I40" s="12">
        <v>45180</v>
      </c>
      <c r="J40" s="10" t="s">
        <v>740</v>
      </c>
      <c r="K40" s="38" t="s">
        <v>693</v>
      </c>
    </row>
    <row r="41" spans="1:11" hidden="1" x14ac:dyDescent="0.2">
      <c r="A41" s="10">
        <v>2000025712</v>
      </c>
      <c r="B41" s="10" t="s">
        <v>742</v>
      </c>
      <c r="C41" s="10" t="s">
        <v>656</v>
      </c>
      <c r="D41" s="34">
        <v>8</v>
      </c>
      <c r="E41" s="11">
        <v>3100021359</v>
      </c>
      <c r="F41" s="35" t="s">
        <v>484</v>
      </c>
      <c r="G41" s="36" t="s">
        <v>481</v>
      </c>
      <c r="H41" s="12">
        <v>45180</v>
      </c>
      <c r="I41" s="12">
        <v>45180</v>
      </c>
      <c r="J41" s="10" t="s">
        <v>740</v>
      </c>
      <c r="K41" s="38" t="s">
        <v>693</v>
      </c>
    </row>
    <row r="42" spans="1:11" hidden="1" x14ac:dyDescent="0.2">
      <c r="A42" s="10">
        <v>2000025713</v>
      </c>
      <c r="B42" s="10" t="s">
        <v>743</v>
      </c>
      <c r="C42" s="10" t="s">
        <v>606</v>
      </c>
      <c r="D42" s="34">
        <v>24</v>
      </c>
      <c r="E42" s="11">
        <v>3100021359</v>
      </c>
      <c r="F42" s="35" t="s">
        <v>484</v>
      </c>
      <c r="G42" s="36" t="s">
        <v>481</v>
      </c>
      <c r="H42" s="12">
        <v>45180</v>
      </c>
      <c r="I42" s="12">
        <v>45180</v>
      </c>
      <c r="J42" s="10" t="s">
        <v>740</v>
      </c>
      <c r="K42" s="38" t="s">
        <v>744</v>
      </c>
    </row>
    <row r="43" spans="1:11" hidden="1" x14ac:dyDescent="0.2">
      <c r="A43" s="10">
        <v>2000025714</v>
      </c>
      <c r="B43" s="10" t="s">
        <v>745</v>
      </c>
      <c r="C43" s="10" t="s">
        <v>594</v>
      </c>
      <c r="D43" s="34">
        <v>20</v>
      </c>
      <c r="E43" s="11">
        <v>3100021359</v>
      </c>
      <c r="F43" s="35" t="s">
        <v>484</v>
      </c>
      <c r="G43" s="36" t="s">
        <v>481</v>
      </c>
      <c r="H43" s="12">
        <v>45180</v>
      </c>
      <c r="I43" s="12">
        <v>45180</v>
      </c>
      <c r="J43" s="10" t="s">
        <v>740</v>
      </c>
      <c r="K43" s="38" t="s">
        <v>693</v>
      </c>
    </row>
    <row r="44" spans="1:11" hidden="1" x14ac:dyDescent="0.2">
      <c r="A44" s="10">
        <v>2000025715</v>
      </c>
      <c r="B44" s="10" t="s">
        <v>745</v>
      </c>
      <c r="C44" s="10" t="s">
        <v>594</v>
      </c>
      <c r="D44" s="34">
        <v>8</v>
      </c>
      <c r="E44" s="11">
        <v>3100021359</v>
      </c>
      <c r="F44" s="35" t="s">
        <v>484</v>
      </c>
      <c r="G44" s="36" t="s">
        <v>481</v>
      </c>
      <c r="H44" s="12">
        <v>45180</v>
      </c>
      <c r="I44" s="12">
        <v>45180</v>
      </c>
      <c r="J44" s="10" t="s">
        <v>740</v>
      </c>
      <c r="K44" s="38" t="s">
        <v>693</v>
      </c>
    </row>
    <row r="45" spans="1:11" hidden="1" x14ac:dyDescent="0.2">
      <c r="A45" s="10">
        <v>2000025716</v>
      </c>
      <c r="B45" s="10" t="s">
        <v>745</v>
      </c>
      <c r="C45" s="10" t="s">
        <v>594</v>
      </c>
      <c r="D45" s="34">
        <v>70</v>
      </c>
      <c r="E45" s="11">
        <v>3100021359</v>
      </c>
      <c r="F45" s="35" t="s">
        <v>484</v>
      </c>
      <c r="G45" s="36" t="s">
        <v>481</v>
      </c>
      <c r="H45" s="12">
        <v>45180</v>
      </c>
      <c r="I45" s="12">
        <v>45180</v>
      </c>
      <c r="J45" s="10" t="s">
        <v>740</v>
      </c>
      <c r="K45" s="38" t="s">
        <v>693</v>
      </c>
    </row>
    <row r="46" spans="1:11" hidden="1" x14ac:dyDescent="0.2">
      <c r="A46" s="10">
        <v>2000025717</v>
      </c>
      <c r="B46" s="10" t="s">
        <v>745</v>
      </c>
      <c r="C46" s="10" t="s">
        <v>594</v>
      </c>
      <c r="D46" s="34">
        <v>10</v>
      </c>
      <c r="E46" s="11">
        <v>3100021359</v>
      </c>
      <c r="F46" s="35" t="s">
        <v>484</v>
      </c>
      <c r="G46" s="36" t="s">
        <v>481</v>
      </c>
      <c r="H46" s="12">
        <v>45180</v>
      </c>
      <c r="I46" s="12">
        <v>45180</v>
      </c>
      <c r="J46" s="10" t="s">
        <v>740</v>
      </c>
      <c r="K46" s="38" t="s">
        <v>693</v>
      </c>
    </row>
    <row r="47" spans="1:11" hidden="1" x14ac:dyDescent="0.2">
      <c r="A47" s="10">
        <v>2000025718</v>
      </c>
      <c r="B47" s="10" t="s">
        <v>746</v>
      </c>
      <c r="C47" s="10" t="s">
        <v>595</v>
      </c>
      <c r="D47" s="34">
        <v>12</v>
      </c>
      <c r="E47" s="11">
        <v>3100021359</v>
      </c>
      <c r="F47" s="35" t="s">
        <v>484</v>
      </c>
      <c r="G47" s="36" t="s">
        <v>481</v>
      </c>
      <c r="H47" s="12">
        <v>45180</v>
      </c>
      <c r="I47" s="12">
        <v>45180</v>
      </c>
      <c r="J47" s="10" t="s">
        <v>740</v>
      </c>
      <c r="K47" s="38" t="s">
        <v>693</v>
      </c>
    </row>
    <row r="48" spans="1:11" hidden="1" x14ac:dyDescent="0.2">
      <c r="A48" s="10">
        <v>2000025719</v>
      </c>
      <c r="B48" s="10" t="s">
        <v>746</v>
      </c>
      <c r="C48" s="10" t="s">
        <v>595</v>
      </c>
      <c r="D48" s="34">
        <v>14</v>
      </c>
      <c r="E48" s="11">
        <v>3100021359</v>
      </c>
      <c r="F48" s="35" t="s">
        <v>484</v>
      </c>
      <c r="G48" s="36" t="s">
        <v>481</v>
      </c>
      <c r="H48" s="12">
        <v>45180</v>
      </c>
      <c r="I48" s="12">
        <v>45180</v>
      </c>
      <c r="J48" s="10" t="s">
        <v>740</v>
      </c>
      <c r="K48" s="38" t="s">
        <v>693</v>
      </c>
    </row>
    <row r="49" spans="1:11" hidden="1" x14ac:dyDescent="0.2">
      <c r="A49" s="10">
        <v>2000025720</v>
      </c>
      <c r="B49" s="10" t="s">
        <v>746</v>
      </c>
      <c r="C49" s="10" t="s">
        <v>595</v>
      </c>
      <c r="D49" s="34">
        <v>10</v>
      </c>
      <c r="E49" s="11">
        <v>3100021359</v>
      </c>
      <c r="F49" s="35" t="s">
        <v>484</v>
      </c>
      <c r="G49" s="36" t="s">
        <v>481</v>
      </c>
      <c r="H49" s="12">
        <v>45180</v>
      </c>
      <c r="I49" s="12">
        <v>45180</v>
      </c>
      <c r="J49" s="10" t="s">
        <v>740</v>
      </c>
      <c r="K49" s="38" t="s">
        <v>693</v>
      </c>
    </row>
    <row r="50" spans="1:11" hidden="1" x14ac:dyDescent="0.2">
      <c r="A50" s="10">
        <v>2000025721</v>
      </c>
      <c r="B50" s="10" t="s">
        <v>746</v>
      </c>
      <c r="C50" s="10" t="s">
        <v>595</v>
      </c>
      <c r="D50" s="34">
        <v>8</v>
      </c>
      <c r="E50" s="11">
        <v>3100021359</v>
      </c>
      <c r="F50" s="35" t="s">
        <v>484</v>
      </c>
      <c r="G50" s="36" t="s">
        <v>481</v>
      </c>
      <c r="H50" s="12">
        <v>45180</v>
      </c>
      <c r="I50" s="12">
        <v>45180</v>
      </c>
      <c r="J50" s="10" t="s">
        <v>740</v>
      </c>
      <c r="K50" s="38" t="s">
        <v>693</v>
      </c>
    </row>
    <row r="51" spans="1:11" hidden="1" x14ac:dyDescent="0.2">
      <c r="A51" s="10">
        <v>2000025722</v>
      </c>
      <c r="B51" s="10" t="s">
        <v>747</v>
      </c>
      <c r="C51" s="10" t="s">
        <v>644</v>
      </c>
      <c r="D51" s="34">
        <v>20</v>
      </c>
      <c r="E51" s="11">
        <v>3100021359</v>
      </c>
      <c r="F51" s="35" t="s">
        <v>484</v>
      </c>
      <c r="G51" s="36" t="s">
        <v>481</v>
      </c>
      <c r="H51" s="12">
        <v>45180</v>
      </c>
      <c r="I51" s="12">
        <v>45180</v>
      </c>
      <c r="J51" s="10" t="s">
        <v>740</v>
      </c>
      <c r="K51" s="38" t="s">
        <v>744</v>
      </c>
    </row>
    <row r="52" spans="1:11" hidden="1" x14ac:dyDescent="0.2">
      <c r="A52" s="10">
        <v>2000025723</v>
      </c>
      <c r="B52" s="10" t="s">
        <v>748</v>
      </c>
      <c r="C52" s="10" t="s">
        <v>645</v>
      </c>
      <c r="D52" s="34">
        <v>8</v>
      </c>
      <c r="E52" s="11">
        <v>3100021359</v>
      </c>
      <c r="F52" s="35" t="s">
        <v>484</v>
      </c>
      <c r="G52" s="36" t="s">
        <v>481</v>
      </c>
      <c r="H52" s="12">
        <v>45180</v>
      </c>
      <c r="I52" s="12">
        <v>45180</v>
      </c>
      <c r="J52" s="10" t="s">
        <v>740</v>
      </c>
      <c r="K52" s="38" t="s">
        <v>744</v>
      </c>
    </row>
    <row r="53" spans="1:11" hidden="1" x14ac:dyDescent="0.2">
      <c r="A53" s="10">
        <v>2000025724</v>
      </c>
      <c r="B53" s="10" t="s">
        <v>749</v>
      </c>
      <c r="C53" s="10" t="s">
        <v>607</v>
      </c>
      <c r="D53" s="34">
        <v>70</v>
      </c>
      <c r="E53" s="11">
        <v>3100021359</v>
      </c>
      <c r="F53" s="35" t="s">
        <v>484</v>
      </c>
      <c r="G53" s="36" t="s">
        <v>481</v>
      </c>
      <c r="H53" s="12">
        <v>45180</v>
      </c>
      <c r="I53" s="12">
        <v>45180</v>
      </c>
      <c r="J53" s="10" t="s">
        <v>740</v>
      </c>
      <c r="K53" s="38" t="s">
        <v>744</v>
      </c>
    </row>
    <row r="54" spans="1:11" hidden="1" x14ac:dyDescent="0.2">
      <c r="A54" s="10">
        <v>2000025725</v>
      </c>
      <c r="B54" s="10" t="s">
        <v>750</v>
      </c>
      <c r="C54" s="10" t="s">
        <v>646</v>
      </c>
      <c r="D54" s="34">
        <v>10</v>
      </c>
      <c r="E54" s="11">
        <v>3100021359</v>
      </c>
      <c r="F54" s="35" t="s">
        <v>484</v>
      </c>
      <c r="G54" s="36" t="s">
        <v>481</v>
      </c>
      <c r="H54" s="12">
        <v>45180</v>
      </c>
      <c r="I54" s="12">
        <v>45180</v>
      </c>
      <c r="J54" s="10" t="s">
        <v>740</v>
      </c>
      <c r="K54" s="38" t="s">
        <v>744</v>
      </c>
    </row>
    <row r="55" spans="1:11" hidden="1" x14ac:dyDescent="0.2">
      <c r="A55" s="10">
        <v>2000025726</v>
      </c>
      <c r="B55" s="10" t="s">
        <v>751</v>
      </c>
      <c r="C55" s="10" t="s">
        <v>649</v>
      </c>
      <c r="D55" s="34">
        <v>12</v>
      </c>
      <c r="E55" s="11">
        <v>3100021359</v>
      </c>
      <c r="F55" s="35" t="s">
        <v>484</v>
      </c>
      <c r="G55" s="36" t="s">
        <v>481</v>
      </c>
      <c r="H55" s="12">
        <v>45180</v>
      </c>
      <c r="I55" s="12">
        <v>45180</v>
      </c>
      <c r="J55" s="10" t="s">
        <v>740</v>
      </c>
      <c r="K55" s="38" t="s">
        <v>744</v>
      </c>
    </row>
    <row r="56" spans="1:11" hidden="1" x14ac:dyDescent="0.2">
      <c r="A56" s="10">
        <v>2000025727</v>
      </c>
      <c r="B56" s="10" t="s">
        <v>752</v>
      </c>
      <c r="C56" s="10" t="s">
        <v>647</v>
      </c>
      <c r="D56" s="34">
        <v>14</v>
      </c>
      <c r="E56" s="11">
        <v>3100021359</v>
      </c>
      <c r="F56" s="35" t="s">
        <v>484</v>
      </c>
      <c r="G56" s="36" t="s">
        <v>481</v>
      </c>
      <c r="H56" s="12">
        <v>45180</v>
      </c>
      <c r="I56" s="12">
        <v>45180</v>
      </c>
      <c r="J56" s="10" t="s">
        <v>740</v>
      </c>
      <c r="K56" s="38" t="s">
        <v>744</v>
      </c>
    </row>
    <row r="57" spans="1:11" hidden="1" x14ac:dyDescent="0.2">
      <c r="A57" s="10">
        <v>2000025728</v>
      </c>
      <c r="B57" s="10" t="s">
        <v>753</v>
      </c>
      <c r="C57" s="10" t="s">
        <v>648</v>
      </c>
      <c r="D57" s="34">
        <v>10</v>
      </c>
      <c r="E57" s="11">
        <v>3100021359</v>
      </c>
      <c r="F57" s="35" t="s">
        <v>484</v>
      </c>
      <c r="G57" s="36" t="s">
        <v>481</v>
      </c>
      <c r="H57" s="12">
        <v>45180</v>
      </c>
      <c r="I57" s="12">
        <v>45180</v>
      </c>
      <c r="J57" s="10" t="s">
        <v>740</v>
      </c>
      <c r="K57" s="38" t="s">
        <v>744</v>
      </c>
    </row>
    <row r="58" spans="1:11" hidden="1" x14ac:dyDescent="0.2">
      <c r="A58" s="10">
        <v>2000025729</v>
      </c>
      <c r="B58" s="10" t="s">
        <v>754</v>
      </c>
      <c r="C58" s="10" t="s">
        <v>652</v>
      </c>
      <c r="D58" s="34">
        <v>8</v>
      </c>
      <c r="E58" s="11">
        <v>3100021359</v>
      </c>
      <c r="F58" s="35" t="s">
        <v>484</v>
      </c>
      <c r="G58" s="36" t="s">
        <v>481</v>
      </c>
      <c r="H58" s="12">
        <v>45180</v>
      </c>
      <c r="I58" s="12">
        <v>45180</v>
      </c>
      <c r="J58" s="10" t="s">
        <v>740</v>
      </c>
      <c r="K58" s="38" t="s">
        <v>744</v>
      </c>
    </row>
    <row r="59" spans="1:11" hidden="1" x14ac:dyDescent="0.2">
      <c r="A59" s="10">
        <v>2000025730</v>
      </c>
      <c r="B59" s="10" t="s">
        <v>755</v>
      </c>
      <c r="C59" s="10" t="s">
        <v>608</v>
      </c>
      <c r="D59" s="34">
        <v>36</v>
      </c>
      <c r="E59" s="11">
        <v>3100021359</v>
      </c>
      <c r="F59" s="35" t="s">
        <v>484</v>
      </c>
      <c r="G59" s="36" t="s">
        <v>481</v>
      </c>
      <c r="H59" s="12">
        <v>45180</v>
      </c>
      <c r="I59" s="12">
        <v>45180</v>
      </c>
      <c r="J59" s="10" t="s">
        <v>740</v>
      </c>
      <c r="K59" s="38" t="s">
        <v>472</v>
      </c>
    </row>
    <row r="60" spans="1:11" hidden="1" x14ac:dyDescent="0.2">
      <c r="A60" s="10">
        <v>2000025776</v>
      </c>
      <c r="B60" s="10" t="s">
        <v>739</v>
      </c>
      <c r="C60" s="10" t="s">
        <v>612</v>
      </c>
      <c r="D60" s="34">
        <v>14</v>
      </c>
      <c r="E60" s="11">
        <v>3100021359</v>
      </c>
      <c r="F60" s="35" t="s">
        <v>484</v>
      </c>
      <c r="G60" s="36" t="s">
        <v>481</v>
      </c>
      <c r="H60" s="12">
        <v>45180</v>
      </c>
      <c r="I60" s="12">
        <v>45180</v>
      </c>
      <c r="J60" s="10" t="s">
        <v>740</v>
      </c>
      <c r="K60" s="38" t="s">
        <v>472</v>
      </c>
    </row>
    <row r="61" spans="1:11" hidden="1" x14ac:dyDescent="0.2">
      <c r="A61" s="10">
        <v>2000025777</v>
      </c>
      <c r="B61" s="10" t="s">
        <v>741</v>
      </c>
      <c r="C61" s="10" t="s">
        <v>613</v>
      </c>
      <c r="D61" s="34">
        <v>16</v>
      </c>
      <c r="E61" s="11">
        <v>3100021359</v>
      </c>
      <c r="F61" s="35" t="s">
        <v>484</v>
      </c>
      <c r="G61" s="36" t="s">
        <v>481</v>
      </c>
      <c r="H61" s="12">
        <v>45180</v>
      </c>
      <c r="I61" s="12">
        <v>45180</v>
      </c>
      <c r="J61" s="10" t="s">
        <v>740</v>
      </c>
      <c r="K61" s="38" t="s">
        <v>693</v>
      </c>
    </row>
    <row r="62" spans="1:11" hidden="1" x14ac:dyDescent="0.2">
      <c r="A62" s="10">
        <v>2000025778</v>
      </c>
      <c r="B62" s="10" t="s">
        <v>743</v>
      </c>
      <c r="C62" s="10" t="s">
        <v>606</v>
      </c>
      <c r="D62" s="34">
        <v>16</v>
      </c>
      <c r="E62" s="11">
        <v>3100021359</v>
      </c>
      <c r="F62" s="35" t="s">
        <v>484</v>
      </c>
      <c r="G62" s="36" t="s">
        <v>481</v>
      </c>
      <c r="H62" s="12">
        <v>45180</v>
      </c>
      <c r="I62" s="12">
        <v>45180</v>
      </c>
      <c r="J62" s="10" t="s">
        <v>740</v>
      </c>
      <c r="K62" s="38" t="s">
        <v>744</v>
      </c>
    </row>
    <row r="63" spans="1:11" hidden="1" x14ac:dyDescent="0.2">
      <c r="A63" s="10">
        <v>2000025912</v>
      </c>
      <c r="B63" s="10" t="s">
        <v>756</v>
      </c>
      <c r="C63" s="10" t="s">
        <v>757</v>
      </c>
      <c r="D63" s="34">
        <v>8</v>
      </c>
      <c r="E63" s="11">
        <v>3100021513</v>
      </c>
      <c r="F63" s="35" t="s">
        <v>666</v>
      </c>
      <c r="G63" s="36" t="s">
        <v>667</v>
      </c>
      <c r="H63" s="12">
        <v>45180</v>
      </c>
      <c r="I63" s="12">
        <v>45175</v>
      </c>
      <c r="J63" s="10"/>
      <c r="K63" s="38" t="s">
        <v>472</v>
      </c>
    </row>
    <row r="64" spans="1:11" hidden="1" x14ac:dyDescent="0.2">
      <c r="A64" s="10">
        <v>2000025931</v>
      </c>
      <c r="B64" s="10" t="s">
        <v>758</v>
      </c>
      <c r="C64" s="10" t="s">
        <v>759</v>
      </c>
      <c r="D64" s="34">
        <v>28</v>
      </c>
      <c r="E64" s="11">
        <v>3300000149</v>
      </c>
      <c r="F64" s="35" t="s">
        <v>472</v>
      </c>
      <c r="G64" s="36" t="s">
        <v>623</v>
      </c>
      <c r="H64" s="12">
        <v>45180</v>
      </c>
      <c r="I64" s="12"/>
      <c r="J64" s="10" t="s">
        <v>724</v>
      </c>
      <c r="K64" s="38" t="s">
        <v>693</v>
      </c>
    </row>
    <row r="65" spans="1:11" hidden="1" x14ac:dyDescent="0.2">
      <c r="A65" s="10">
        <v>2000025949</v>
      </c>
      <c r="B65" s="10" t="s">
        <v>739</v>
      </c>
      <c r="C65" s="10" t="s">
        <v>612</v>
      </c>
      <c r="D65" s="34">
        <v>21</v>
      </c>
      <c r="E65" s="11">
        <v>3100021359</v>
      </c>
      <c r="F65" s="35" t="s">
        <v>484</v>
      </c>
      <c r="G65" s="36" t="s">
        <v>481</v>
      </c>
      <c r="H65" s="12">
        <v>45180</v>
      </c>
      <c r="I65" s="12">
        <v>45180</v>
      </c>
      <c r="J65" s="10" t="s">
        <v>740</v>
      </c>
      <c r="K65" s="38" t="s">
        <v>472</v>
      </c>
    </row>
    <row r="66" spans="1:11" hidden="1" x14ac:dyDescent="0.2">
      <c r="A66" s="10">
        <v>2000025950</v>
      </c>
      <c r="B66" s="10" t="s">
        <v>741</v>
      </c>
      <c r="C66" s="10" t="s">
        <v>613</v>
      </c>
      <c r="D66" s="34">
        <v>16</v>
      </c>
      <c r="E66" s="11">
        <v>3100021359</v>
      </c>
      <c r="F66" s="35" t="s">
        <v>484</v>
      </c>
      <c r="G66" s="36" t="s">
        <v>481</v>
      </c>
      <c r="H66" s="12">
        <v>45180</v>
      </c>
      <c r="I66" s="12">
        <v>45180</v>
      </c>
      <c r="J66" s="10" t="s">
        <v>740</v>
      </c>
      <c r="K66" s="38" t="s">
        <v>693</v>
      </c>
    </row>
    <row r="67" spans="1:11" hidden="1" x14ac:dyDescent="0.2">
      <c r="A67" s="10">
        <v>2000025951</v>
      </c>
      <c r="B67" s="10" t="s">
        <v>743</v>
      </c>
      <c r="C67" s="10" t="s">
        <v>606</v>
      </c>
      <c r="D67" s="34">
        <v>16</v>
      </c>
      <c r="E67" s="11">
        <v>3100021359</v>
      </c>
      <c r="F67" s="35" t="s">
        <v>484</v>
      </c>
      <c r="G67" s="36" t="s">
        <v>481</v>
      </c>
      <c r="H67" s="12">
        <v>45180</v>
      </c>
      <c r="I67" s="12">
        <v>45180</v>
      </c>
      <c r="J67" s="10" t="s">
        <v>740</v>
      </c>
      <c r="K67" s="38" t="s">
        <v>744</v>
      </c>
    </row>
    <row r="68" spans="1:11" hidden="1" x14ac:dyDescent="0.2">
      <c r="A68" s="10">
        <v>2000025952</v>
      </c>
      <c r="B68" s="10" t="s">
        <v>749</v>
      </c>
      <c r="C68" s="10" t="s">
        <v>607</v>
      </c>
      <c r="D68" s="34">
        <v>4</v>
      </c>
      <c r="E68" s="11">
        <v>3100021359</v>
      </c>
      <c r="F68" s="35" t="s">
        <v>484</v>
      </c>
      <c r="G68" s="36" t="s">
        <v>481</v>
      </c>
      <c r="H68" s="12">
        <v>45180</v>
      </c>
      <c r="I68" s="12">
        <v>45180</v>
      </c>
      <c r="J68" s="10" t="s">
        <v>740</v>
      </c>
      <c r="K68" s="38" t="s">
        <v>744</v>
      </c>
    </row>
    <row r="69" spans="1:11" hidden="1" x14ac:dyDescent="0.2">
      <c r="A69" s="10">
        <v>2000025953</v>
      </c>
      <c r="B69" s="10" t="s">
        <v>755</v>
      </c>
      <c r="C69" s="10" t="s">
        <v>608</v>
      </c>
      <c r="D69" s="34">
        <v>2</v>
      </c>
      <c r="E69" s="11">
        <v>3100021359</v>
      </c>
      <c r="F69" s="35" t="s">
        <v>484</v>
      </c>
      <c r="G69" s="36" t="s">
        <v>481</v>
      </c>
      <c r="H69" s="12">
        <v>45180</v>
      </c>
      <c r="I69" s="12">
        <v>45180</v>
      </c>
      <c r="J69" s="10" t="s">
        <v>740</v>
      </c>
      <c r="K69" s="38" t="s">
        <v>472</v>
      </c>
    </row>
    <row r="70" spans="1:11" hidden="1" x14ac:dyDescent="0.2">
      <c r="A70" s="10">
        <v>2000025954</v>
      </c>
      <c r="B70" s="10" t="s">
        <v>745</v>
      </c>
      <c r="C70" s="10" t="s">
        <v>594</v>
      </c>
      <c r="D70" s="34">
        <v>4</v>
      </c>
      <c r="E70" s="11">
        <v>3100021359</v>
      </c>
      <c r="F70" s="35" t="s">
        <v>484</v>
      </c>
      <c r="G70" s="36" t="s">
        <v>481</v>
      </c>
      <c r="H70" s="12">
        <v>45180</v>
      </c>
      <c r="I70" s="12">
        <v>45180</v>
      </c>
      <c r="J70" s="10" t="s">
        <v>740</v>
      </c>
      <c r="K70" s="38" t="s">
        <v>693</v>
      </c>
    </row>
    <row r="71" spans="1:11" hidden="1" x14ac:dyDescent="0.2">
      <c r="A71" s="10">
        <v>2000025377</v>
      </c>
      <c r="B71" s="10" t="s">
        <v>760</v>
      </c>
      <c r="C71" s="10" t="s">
        <v>761</v>
      </c>
      <c r="D71" s="34">
        <v>5200</v>
      </c>
      <c r="E71" s="11">
        <v>3100021366</v>
      </c>
      <c r="F71" s="11" t="s">
        <v>584</v>
      </c>
      <c r="G71" s="11" t="s">
        <v>585</v>
      </c>
      <c r="H71" s="12">
        <v>45181</v>
      </c>
      <c r="I71" s="12"/>
      <c r="J71" s="10"/>
      <c r="K71" s="13" t="s">
        <v>693</v>
      </c>
    </row>
    <row r="72" spans="1:11" x14ac:dyDescent="0.2">
      <c r="A72" s="10">
        <v>2000025177</v>
      </c>
      <c r="B72" s="10" t="s">
        <v>762</v>
      </c>
      <c r="C72" s="10" t="s">
        <v>583</v>
      </c>
      <c r="D72" s="34">
        <v>6</v>
      </c>
      <c r="E72" s="11">
        <v>3100021366</v>
      </c>
      <c r="F72" s="35" t="s">
        <v>584</v>
      </c>
      <c r="G72" s="36" t="s">
        <v>585</v>
      </c>
      <c r="H72" s="12">
        <v>45181</v>
      </c>
      <c r="I72" s="12">
        <v>45173</v>
      </c>
      <c r="J72" s="10"/>
      <c r="K72" s="13" t="s">
        <v>687</v>
      </c>
    </row>
    <row r="73" spans="1:11" hidden="1" x14ac:dyDescent="0.2">
      <c r="A73" s="10">
        <v>2000025807</v>
      </c>
      <c r="B73" s="10" t="s">
        <v>763</v>
      </c>
      <c r="C73" s="10" t="s">
        <v>764</v>
      </c>
      <c r="D73" s="34">
        <v>6</v>
      </c>
      <c r="E73" s="11">
        <v>3100021401</v>
      </c>
      <c r="F73" s="11" t="s">
        <v>636</v>
      </c>
      <c r="G73" s="11" t="s">
        <v>490</v>
      </c>
      <c r="H73" s="12">
        <v>45183</v>
      </c>
      <c r="I73" s="12">
        <v>45173</v>
      </c>
      <c r="J73" s="10"/>
      <c r="K73" s="38" t="s">
        <v>693</v>
      </c>
    </row>
    <row r="74" spans="1:11" hidden="1" x14ac:dyDescent="0.2">
      <c r="A74" s="10">
        <v>2000025808</v>
      </c>
      <c r="B74" s="10" t="s">
        <v>763</v>
      </c>
      <c r="C74" s="10" t="s">
        <v>764</v>
      </c>
      <c r="D74" s="34">
        <v>18</v>
      </c>
      <c r="E74" s="11">
        <v>3100021401</v>
      </c>
      <c r="F74" s="11" t="s">
        <v>636</v>
      </c>
      <c r="G74" s="11" t="s">
        <v>490</v>
      </c>
      <c r="H74" s="12">
        <v>45183</v>
      </c>
      <c r="I74" s="12">
        <v>45173</v>
      </c>
      <c r="J74" s="10"/>
      <c r="K74" s="38" t="s">
        <v>693</v>
      </c>
    </row>
    <row r="75" spans="1:11" hidden="1" x14ac:dyDescent="0.2">
      <c r="A75" s="10">
        <v>2000025915</v>
      </c>
      <c r="B75" s="10" t="s">
        <v>765</v>
      </c>
      <c r="C75" s="10" t="s">
        <v>766</v>
      </c>
      <c r="D75" s="34">
        <v>222</v>
      </c>
      <c r="E75" s="11">
        <v>3100021507</v>
      </c>
      <c r="F75" s="35" t="s">
        <v>475</v>
      </c>
      <c r="G75" s="36" t="s">
        <v>476</v>
      </c>
      <c r="H75" s="12">
        <v>45184</v>
      </c>
      <c r="I75" s="12">
        <v>45179</v>
      </c>
      <c r="J75" s="10"/>
      <c r="K75" s="43" t="s">
        <v>472</v>
      </c>
    </row>
    <row r="76" spans="1:11" hidden="1" x14ac:dyDescent="0.2">
      <c r="A76" s="10">
        <v>2000025948</v>
      </c>
      <c r="B76" s="10" t="s">
        <v>765</v>
      </c>
      <c r="C76" s="10" t="s">
        <v>766</v>
      </c>
      <c r="D76" s="34">
        <v>408</v>
      </c>
      <c r="E76" s="11">
        <v>3100021507</v>
      </c>
      <c r="F76" s="35" t="s">
        <v>475</v>
      </c>
      <c r="G76" s="36" t="s">
        <v>476</v>
      </c>
      <c r="H76" s="12">
        <v>45184</v>
      </c>
      <c r="I76" s="12">
        <v>45179</v>
      </c>
      <c r="J76" s="10"/>
      <c r="K76" s="43" t="s">
        <v>472</v>
      </c>
    </row>
    <row r="77" spans="1:11" hidden="1" x14ac:dyDescent="0.2">
      <c r="A77" s="10">
        <v>2000025982</v>
      </c>
      <c r="B77" s="10" t="s">
        <v>765</v>
      </c>
      <c r="C77" s="10" t="s">
        <v>766</v>
      </c>
      <c r="D77" s="34">
        <v>272</v>
      </c>
      <c r="E77" s="11">
        <v>3100021507</v>
      </c>
      <c r="F77" s="35" t="s">
        <v>475</v>
      </c>
      <c r="G77" s="36" t="s">
        <v>476</v>
      </c>
      <c r="H77" s="12">
        <v>45184</v>
      </c>
      <c r="I77" s="12">
        <v>45179</v>
      </c>
      <c r="J77" s="10"/>
      <c r="K77" s="43" t="s">
        <v>472</v>
      </c>
    </row>
    <row r="78" spans="1:11" hidden="1" x14ac:dyDescent="0.2">
      <c r="A78" s="10">
        <v>2000025029</v>
      </c>
      <c r="B78" s="10" t="s">
        <v>767</v>
      </c>
      <c r="C78" s="10" t="s">
        <v>768</v>
      </c>
      <c r="D78" s="34">
        <v>112</v>
      </c>
      <c r="E78" s="11">
        <v>3100020850</v>
      </c>
      <c r="F78" s="35" t="s">
        <v>661</v>
      </c>
      <c r="G78" s="36" t="s">
        <v>662</v>
      </c>
      <c r="H78" s="12">
        <v>45187</v>
      </c>
      <c r="I78" s="12">
        <v>45181</v>
      </c>
      <c r="J78" s="10"/>
      <c r="K78" s="38" t="s">
        <v>472</v>
      </c>
    </row>
    <row r="79" spans="1:11" hidden="1" x14ac:dyDescent="0.2">
      <c r="A79" s="10">
        <v>2000025030</v>
      </c>
      <c r="B79" s="10" t="s">
        <v>769</v>
      </c>
      <c r="C79" s="10" t="s">
        <v>663</v>
      </c>
      <c r="D79" s="34">
        <v>112</v>
      </c>
      <c r="E79" s="11">
        <v>3100020850</v>
      </c>
      <c r="F79" s="35" t="s">
        <v>661</v>
      </c>
      <c r="G79" s="36" t="s">
        <v>662</v>
      </c>
      <c r="H79" s="12">
        <v>45187</v>
      </c>
      <c r="I79" s="12">
        <v>45183</v>
      </c>
      <c r="J79" s="10"/>
      <c r="K79" s="38" t="s">
        <v>472</v>
      </c>
    </row>
    <row r="80" spans="1:11" hidden="1" x14ac:dyDescent="0.2">
      <c r="A80" s="10">
        <v>2000026008</v>
      </c>
      <c r="B80" s="10" t="s">
        <v>770</v>
      </c>
      <c r="C80" s="10" t="s">
        <v>771</v>
      </c>
      <c r="D80" s="34">
        <v>32</v>
      </c>
      <c r="E80" s="11">
        <v>3100021585</v>
      </c>
      <c r="F80" s="35" t="s">
        <v>569</v>
      </c>
      <c r="G80" s="36" t="s">
        <v>570</v>
      </c>
      <c r="H80" s="12">
        <v>45188</v>
      </c>
      <c r="I80" s="12">
        <v>45188</v>
      </c>
      <c r="J80" s="10"/>
      <c r="K80" s="38" t="s">
        <v>472</v>
      </c>
    </row>
    <row r="81" spans="1:11" hidden="1" x14ac:dyDescent="0.2">
      <c r="A81" s="10">
        <v>2000026009</v>
      </c>
      <c r="B81" s="10" t="s">
        <v>772</v>
      </c>
      <c r="C81" s="10" t="s">
        <v>773</v>
      </c>
      <c r="D81" s="34">
        <v>40</v>
      </c>
      <c r="E81" s="11">
        <v>3100021585</v>
      </c>
      <c r="F81" s="35" t="s">
        <v>569</v>
      </c>
      <c r="G81" s="36" t="s">
        <v>570</v>
      </c>
      <c r="H81" s="12">
        <v>45188</v>
      </c>
      <c r="I81" s="12">
        <v>45188</v>
      </c>
      <c r="J81" s="10"/>
      <c r="K81" s="38" t="s">
        <v>472</v>
      </c>
    </row>
    <row r="82" spans="1:11" hidden="1" x14ac:dyDescent="0.2">
      <c r="A82" s="10">
        <v>2000026010</v>
      </c>
      <c r="B82" s="10" t="s">
        <v>774</v>
      </c>
      <c r="C82" s="10" t="s">
        <v>775</v>
      </c>
      <c r="D82" s="34">
        <v>172</v>
      </c>
      <c r="E82" s="11">
        <v>3100021585</v>
      </c>
      <c r="F82" s="35" t="s">
        <v>569</v>
      </c>
      <c r="G82" s="36" t="s">
        <v>570</v>
      </c>
      <c r="H82" s="12">
        <v>45188</v>
      </c>
      <c r="I82" s="12">
        <v>45188</v>
      </c>
      <c r="J82" s="10"/>
      <c r="K82" s="38" t="s">
        <v>693</v>
      </c>
    </row>
    <row r="83" spans="1:11" hidden="1" x14ac:dyDescent="0.2">
      <c r="A83" s="10">
        <v>2000026011</v>
      </c>
      <c r="B83" s="10" t="s">
        <v>776</v>
      </c>
      <c r="C83" s="10" t="s">
        <v>777</v>
      </c>
      <c r="D83" s="34">
        <v>32</v>
      </c>
      <c r="E83" s="11">
        <v>3100021585</v>
      </c>
      <c r="F83" s="35" t="s">
        <v>569</v>
      </c>
      <c r="G83" s="36" t="s">
        <v>570</v>
      </c>
      <c r="H83" s="12">
        <v>45188</v>
      </c>
      <c r="I83" s="12">
        <v>45188</v>
      </c>
      <c r="J83" s="10"/>
      <c r="K83" s="38" t="s">
        <v>693</v>
      </c>
    </row>
    <row r="84" spans="1:11" hidden="1" x14ac:dyDescent="0.2">
      <c r="A84" s="10">
        <v>2000026012</v>
      </c>
      <c r="B84" s="10" t="s">
        <v>778</v>
      </c>
      <c r="C84" s="10" t="s">
        <v>779</v>
      </c>
      <c r="D84" s="34">
        <v>16</v>
      </c>
      <c r="E84" s="11">
        <v>3100021585</v>
      </c>
      <c r="F84" s="35" t="s">
        <v>569</v>
      </c>
      <c r="G84" s="36" t="s">
        <v>570</v>
      </c>
      <c r="H84" s="12">
        <v>45188</v>
      </c>
      <c r="I84" s="12">
        <v>45188</v>
      </c>
      <c r="J84" s="10"/>
      <c r="K84" s="38" t="s">
        <v>472</v>
      </c>
    </row>
    <row r="85" spans="1:11" x14ac:dyDescent="0.2">
      <c r="A85" s="10">
        <v>2000025833</v>
      </c>
      <c r="B85" s="10" t="s">
        <v>780</v>
      </c>
      <c r="C85" s="10" t="s">
        <v>575</v>
      </c>
      <c r="D85" s="34">
        <v>250</v>
      </c>
      <c r="E85" s="11">
        <v>3100021630</v>
      </c>
      <c r="F85" s="11" t="s">
        <v>576</v>
      </c>
      <c r="G85" s="11" t="s">
        <v>504</v>
      </c>
      <c r="H85" s="12">
        <v>45189</v>
      </c>
      <c r="I85" s="12">
        <v>45184</v>
      </c>
      <c r="J85" s="10"/>
      <c r="K85" s="13" t="s">
        <v>687</v>
      </c>
    </row>
    <row r="86" spans="1:11" x14ac:dyDescent="0.2">
      <c r="A86" s="10">
        <v>2000025294</v>
      </c>
      <c r="B86" s="10" t="s">
        <v>780</v>
      </c>
      <c r="C86" s="10" t="s">
        <v>575</v>
      </c>
      <c r="D86" s="34">
        <v>200</v>
      </c>
      <c r="E86" s="11">
        <v>3100021630</v>
      </c>
      <c r="F86" s="11" t="s">
        <v>576</v>
      </c>
      <c r="G86" s="11" t="s">
        <v>504</v>
      </c>
      <c r="H86" s="12">
        <v>45189</v>
      </c>
      <c r="I86" s="12">
        <v>45184</v>
      </c>
      <c r="J86" s="10"/>
      <c r="K86" s="13" t="s">
        <v>687</v>
      </c>
    </row>
    <row r="87" spans="1:11" hidden="1" x14ac:dyDescent="0.2">
      <c r="A87" s="10">
        <v>2000025745</v>
      </c>
      <c r="B87" s="10" t="s">
        <v>781</v>
      </c>
      <c r="C87" s="10" t="s">
        <v>782</v>
      </c>
      <c r="D87" s="34">
        <v>4</v>
      </c>
      <c r="E87" s="11">
        <v>3100021538</v>
      </c>
      <c r="F87" s="35" t="s">
        <v>480</v>
      </c>
      <c r="G87" s="36" t="s">
        <v>481</v>
      </c>
      <c r="H87" s="12">
        <v>45189</v>
      </c>
      <c r="I87" s="12"/>
      <c r="J87" s="10"/>
      <c r="K87" s="38" t="s">
        <v>693</v>
      </c>
    </row>
    <row r="88" spans="1:11" hidden="1" x14ac:dyDescent="0.2">
      <c r="A88" s="10">
        <v>2000025752</v>
      </c>
      <c r="B88" s="10" t="s">
        <v>783</v>
      </c>
      <c r="C88" s="10" t="s">
        <v>784</v>
      </c>
      <c r="D88" s="34">
        <v>9</v>
      </c>
      <c r="E88" s="11">
        <v>3100021538</v>
      </c>
      <c r="F88" s="35" t="s">
        <v>480</v>
      </c>
      <c r="G88" s="36" t="s">
        <v>481</v>
      </c>
      <c r="H88" s="12">
        <v>45189</v>
      </c>
      <c r="I88" s="12"/>
      <c r="J88" s="10"/>
      <c r="K88" s="13" t="s">
        <v>693</v>
      </c>
    </row>
    <row r="89" spans="1:11" hidden="1" x14ac:dyDescent="0.2">
      <c r="A89" s="10">
        <v>2000025761</v>
      </c>
      <c r="B89" s="10" t="s">
        <v>785</v>
      </c>
      <c r="C89" s="10" t="s">
        <v>786</v>
      </c>
      <c r="D89" s="34">
        <v>22</v>
      </c>
      <c r="E89" s="11">
        <v>3100021538</v>
      </c>
      <c r="F89" s="35" t="s">
        <v>480</v>
      </c>
      <c r="G89" s="36" t="s">
        <v>481</v>
      </c>
      <c r="H89" s="12">
        <v>45189</v>
      </c>
      <c r="I89" s="12"/>
      <c r="J89" s="10"/>
      <c r="K89" s="13" t="s">
        <v>693</v>
      </c>
    </row>
    <row r="90" spans="1:11" x14ac:dyDescent="0.2">
      <c r="A90" s="10">
        <v>2000025765</v>
      </c>
      <c r="B90" s="10" t="s">
        <v>787</v>
      </c>
      <c r="C90" s="10" t="s">
        <v>788</v>
      </c>
      <c r="D90" s="34">
        <v>5610</v>
      </c>
      <c r="E90" s="11">
        <v>3100021538</v>
      </c>
      <c r="F90" s="35" t="s">
        <v>480</v>
      </c>
      <c r="G90" s="36" t="s">
        <v>481</v>
      </c>
      <c r="H90" s="12">
        <v>45189</v>
      </c>
      <c r="I90" s="12"/>
      <c r="J90" s="10"/>
      <c r="K90" s="13" t="s">
        <v>687</v>
      </c>
    </row>
    <row r="91" spans="1:11" hidden="1" x14ac:dyDescent="0.2">
      <c r="A91" s="10">
        <v>2000025944</v>
      </c>
      <c r="B91" s="10" t="s">
        <v>785</v>
      </c>
      <c r="C91" s="10" t="s">
        <v>786</v>
      </c>
      <c r="D91" s="34">
        <v>8</v>
      </c>
      <c r="E91" s="11">
        <v>3100021538</v>
      </c>
      <c r="F91" s="35" t="s">
        <v>480</v>
      </c>
      <c r="G91" s="36" t="s">
        <v>481</v>
      </c>
      <c r="H91" s="12">
        <v>45189</v>
      </c>
      <c r="I91" s="12"/>
      <c r="J91" s="10"/>
      <c r="K91" s="13" t="s">
        <v>693</v>
      </c>
    </row>
    <row r="92" spans="1:11" hidden="1" x14ac:dyDescent="0.2">
      <c r="A92" s="10">
        <v>2000025955</v>
      </c>
      <c r="B92" s="10" t="s">
        <v>789</v>
      </c>
      <c r="C92" s="10" t="s">
        <v>790</v>
      </c>
      <c r="D92" s="34">
        <v>9</v>
      </c>
      <c r="E92" s="11">
        <v>3100021538</v>
      </c>
      <c r="F92" s="35" t="s">
        <v>480</v>
      </c>
      <c r="G92" s="36" t="s">
        <v>481</v>
      </c>
      <c r="H92" s="12">
        <v>45189</v>
      </c>
      <c r="I92" s="12"/>
      <c r="J92" s="10"/>
      <c r="K92" s="38" t="s">
        <v>693</v>
      </c>
    </row>
    <row r="93" spans="1:11" hidden="1" x14ac:dyDescent="0.2">
      <c r="A93" s="10">
        <v>2000025956</v>
      </c>
      <c r="B93" s="10" t="s">
        <v>781</v>
      </c>
      <c r="C93" s="10" t="s">
        <v>782</v>
      </c>
      <c r="D93" s="34">
        <v>4</v>
      </c>
      <c r="E93" s="11">
        <v>3100021538</v>
      </c>
      <c r="F93" s="35" t="s">
        <v>480</v>
      </c>
      <c r="G93" s="36" t="s">
        <v>481</v>
      </c>
      <c r="H93" s="12">
        <v>45189</v>
      </c>
      <c r="I93" s="12"/>
      <c r="J93" s="10"/>
      <c r="K93" s="38" t="s">
        <v>693</v>
      </c>
    </row>
    <row r="94" spans="1:11" hidden="1" x14ac:dyDescent="0.2">
      <c r="A94" s="10">
        <v>2000025961</v>
      </c>
      <c r="B94" s="10" t="s">
        <v>791</v>
      </c>
      <c r="C94" s="10" t="s">
        <v>792</v>
      </c>
      <c r="D94" s="34">
        <v>12</v>
      </c>
      <c r="E94" s="11">
        <v>3100021538</v>
      </c>
      <c r="F94" s="35" t="s">
        <v>480</v>
      </c>
      <c r="G94" s="36" t="s">
        <v>481</v>
      </c>
      <c r="H94" s="12">
        <v>45189</v>
      </c>
      <c r="I94" s="12"/>
      <c r="J94" s="10"/>
      <c r="K94" s="13" t="s">
        <v>693</v>
      </c>
    </row>
    <row r="95" spans="1:11" hidden="1" x14ac:dyDescent="0.2">
      <c r="A95" s="10">
        <v>2000025963</v>
      </c>
      <c r="B95" s="10" t="s">
        <v>783</v>
      </c>
      <c r="C95" s="10" t="s">
        <v>784</v>
      </c>
      <c r="D95" s="34">
        <v>9</v>
      </c>
      <c r="E95" s="11">
        <v>3100021538</v>
      </c>
      <c r="F95" s="35" t="s">
        <v>480</v>
      </c>
      <c r="G95" s="36" t="s">
        <v>481</v>
      </c>
      <c r="H95" s="12">
        <v>45189</v>
      </c>
      <c r="I95" s="12"/>
      <c r="J95" s="10"/>
      <c r="K95" s="13" t="s">
        <v>693</v>
      </c>
    </row>
    <row r="96" spans="1:11" hidden="1" x14ac:dyDescent="0.2">
      <c r="A96" s="10">
        <v>2000025965</v>
      </c>
      <c r="B96" s="10" t="s">
        <v>785</v>
      </c>
      <c r="C96" s="10" t="s">
        <v>786</v>
      </c>
      <c r="D96" s="34">
        <v>9</v>
      </c>
      <c r="E96" s="11">
        <v>3100021538</v>
      </c>
      <c r="F96" s="35" t="s">
        <v>480</v>
      </c>
      <c r="G96" s="36" t="s">
        <v>481</v>
      </c>
      <c r="H96" s="12">
        <v>45189</v>
      </c>
      <c r="I96" s="12"/>
      <c r="J96" s="10"/>
      <c r="K96" s="13" t="s">
        <v>693</v>
      </c>
    </row>
    <row r="97" spans="1:11" x14ac:dyDescent="0.2">
      <c r="A97" s="10">
        <v>2000025967</v>
      </c>
      <c r="B97" s="10" t="s">
        <v>787</v>
      </c>
      <c r="C97" s="10" t="s">
        <v>788</v>
      </c>
      <c r="D97" s="34">
        <v>670</v>
      </c>
      <c r="E97" s="11">
        <v>3100021538</v>
      </c>
      <c r="F97" s="35" t="s">
        <v>480</v>
      </c>
      <c r="G97" s="36" t="s">
        <v>481</v>
      </c>
      <c r="H97" s="12">
        <v>45189</v>
      </c>
      <c r="I97" s="12"/>
      <c r="J97" s="10"/>
      <c r="K97" s="13" t="s">
        <v>687</v>
      </c>
    </row>
    <row r="98" spans="1:11" hidden="1" x14ac:dyDescent="0.2">
      <c r="A98" s="10">
        <v>2000025991</v>
      </c>
      <c r="B98" s="10" t="s">
        <v>789</v>
      </c>
      <c r="C98" s="10" t="s">
        <v>790</v>
      </c>
      <c r="D98" s="34">
        <v>9</v>
      </c>
      <c r="E98" s="11">
        <v>3100021538</v>
      </c>
      <c r="F98" s="35" t="s">
        <v>480</v>
      </c>
      <c r="G98" s="36" t="s">
        <v>481</v>
      </c>
      <c r="H98" s="12">
        <v>45189</v>
      </c>
      <c r="I98" s="12"/>
      <c r="J98" s="10"/>
      <c r="K98" s="38" t="s">
        <v>693</v>
      </c>
    </row>
    <row r="99" spans="1:11" x14ac:dyDescent="0.2">
      <c r="A99" s="10"/>
      <c r="B99" s="9" t="s">
        <v>457</v>
      </c>
      <c r="C99" s="10" t="s">
        <v>458</v>
      </c>
      <c r="D99" s="10">
        <v>2100</v>
      </c>
      <c r="E99" s="11">
        <v>3100021630</v>
      </c>
      <c r="F99" s="11" t="s">
        <v>576</v>
      </c>
      <c r="G99" s="11" t="s">
        <v>504</v>
      </c>
      <c r="H99" s="37">
        <v>45189</v>
      </c>
      <c r="I99" s="38"/>
      <c r="J99" s="10">
        <v>2</v>
      </c>
      <c r="K99" s="13" t="s">
        <v>687</v>
      </c>
    </row>
    <row r="100" spans="1:11" hidden="1" x14ac:dyDescent="0.2">
      <c r="A100" s="10">
        <v>2000025681</v>
      </c>
      <c r="B100" s="10" t="s">
        <v>793</v>
      </c>
      <c r="C100" s="10" t="s">
        <v>621</v>
      </c>
      <c r="D100" s="34">
        <v>85</v>
      </c>
      <c r="E100" s="11">
        <v>3100021579</v>
      </c>
      <c r="F100" s="35" t="s">
        <v>620</v>
      </c>
      <c r="G100" s="36" t="s">
        <v>500</v>
      </c>
      <c r="H100" s="12">
        <v>45190</v>
      </c>
      <c r="I100" s="12"/>
      <c r="J100" s="10"/>
      <c r="K100" s="38" t="s">
        <v>472</v>
      </c>
    </row>
    <row r="101" spans="1:11" hidden="1" x14ac:dyDescent="0.2">
      <c r="A101" s="10">
        <v>2000025852</v>
      </c>
      <c r="B101" s="10" t="s">
        <v>793</v>
      </c>
      <c r="C101" s="10" t="s">
        <v>621</v>
      </c>
      <c r="D101" s="34">
        <v>80</v>
      </c>
      <c r="E101" s="11">
        <v>3100021579</v>
      </c>
      <c r="F101" s="35" t="s">
        <v>620</v>
      </c>
      <c r="G101" s="36" t="s">
        <v>500</v>
      </c>
      <c r="H101" s="12">
        <v>45190</v>
      </c>
      <c r="I101" s="12"/>
      <c r="J101" s="10"/>
      <c r="K101" s="38" t="s">
        <v>472</v>
      </c>
    </row>
    <row r="102" spans="1:11" hidden="1" x14ac:dyDescent="0.2">
      <c r="A102" s="10">
        <v>2000025774</v>
      </c>
      <c r="B102" s="10" t="s">
        <v>794</v>
      </c>
      <c r="C102" s="10" t="s">
        <v>550</v>
      </c>
      <c r="D102" s="34">
        <v>2300</v>
      </c>
      <c r="E102" s="11">
        <v>3100021353</v>
      </c>
      <c r="F102" s="35" t="s">
        <v>551</v>
      </c>
      <c r="G102" s="36" t="s">
        <v>552</v>
      </c>
      <c r="H102" s="12">
        <v>45191</v>
      </c>
      <c r="I102" s="12"/>
      <c r="J102" s="10"/>
      <c r="K102" s="13" t="s">
        <v>472</v>
      </c>
    </row>
    <row r="103" spans="1:11" hidden="1" x14ac:dyDescent="0.2">
      <c r="A103" s="10">
        <v>2000025800</v>
      </c>
      <c r="B103" s="10" t="s">
        <v>795</v>
      </c>
      <c r="C103" s="10" t="s">
        <v>609</v>
      </c>
      <c r="D103" s="34">
        <v>12</v>
      </c>
      <c r="E103" s="11">
        <v>3100021406</v>
      </c>
      <c r="F103" s="35" t="s">
        <v>610</v>
      </c>
      <c r="G103" s="36" t="s">
        <v>611</v>
      </c>
      <c r="H103" s="12">
        <v>45191</v>
      </c>
      <c r="I103" s="12"/>
      <c r="J103" s="10"/>
      <c r="K103" s="38" t="s">
        <v>472</v>
      </c>
    </row>
    <row r="104" spans="1:11" hidden="1" x14ac:dyDescent="0.2">
      <c r="A104" s="10">
        <v>2000025801</v>
      </c>
      <c r="B104" s="10" t="s">
        <v>795</v>
      </c>
      <c r="C104" s="10" t="s">
        <v>609</v>
      </c>
      <c r="D104" s="34">
        <v>54</v>
      </c>
      <c r="E104" s="11">
        <v>3100021406</v>
      </c>
      <c r="F104" s="35" t="s">
        <v>610</v>
      </c>
      <c r="G104" s="36" t="s">
        <v>611</v>
      </c>
      <c r="H104" s="12">
        <v>45191</v>
      </c>
      <c r="I104" s="12"/>
      <c r="J104" s="10"/>
      <c r="K104" s="38" t="s">
        <v>472</v>
      </c>
    </row>
    <row r="105" spans="1:11" hidden="1" x14ac:dyDescent="0.2">
      <c r="A105" s="10">
        <v>2000025844</v>
      </c>
      <c r="B105" s="10" t="s">
        <v>796</v>
      </c>
      <c r="C105" s="10" t="s">
        <v>797</v>
      </c>
      <c r="D105" s="34">
        <v>44</v>
      </c>
      <c r="E105" s="11">
        <v>3100021435</v>
      </c>
      <c r="F105" s="35" t="s">
        <v>650</v>
      </c>
      <c r="G105" s="36" t="s">
        <v>651</v>
      </c>
      <c r="H105" s="12">
        <v>45191</v>
      </c>
      <c r="I105" s="12"/>
      <c r="J105" s="10"/>
      <c r="K105" s="38" t="s">
        <v>472</v>
      </c>
    </row>
    <row r="106" spans="1:11" hidden="1" x14ac:dyDescent="0.2">
      <c r="A106" s="10">
        <v>2000025885</v>
      </c>
      <c r="B106" s="10" t="s">
        <v>760</v>
      </c>
      <c r="C106" s="10" t="s">
        <v>761</v>
      </c>
      <c r="D106" s="34">
        <v>5400</v>
      </c>
      <c r="E106" s="11">
        <v>3100021627</v>
      </c>
      <c r="F106" s="11" t="s">
        <v>642</v>
      </c>
      <c r="G106" s="11" t="s">
        <v>478</v>
      </c>
      <c r="H106" s="12">
        <v>45193</v>
      </c>
      <c r="I106" s="12"/>
      <c r="J106" s="10"/>
      <c r="K106" s="13" t="s">
        <v>693</v>
      </c>
    </row>
    <row r="107" spans="1:11" hidden="1" x14ac:dyDescent="0.2">
      <c r="A107" s="10">
        <v>2000026021</v>
      </c>
      <c r="B107" s="10" t="s">
        <v>798</v>
      </c>
      <c r="C107" s="10" t="s">
        <v>799</v>
      </c>
      <c r="D107" s="34">
        <v>760</v>
      </c>
      <c r="E107" s="11">
        <v>3100021599</v>
      </c>
      <c r="F107" s="35" t="s">
        <v>627</v>
      </c>
      <c r="G107" s="36" t="s">
        <v>628</v>
      </c>
      <c r="H107" s="12">
        <v>45196</v>
      </c>
      <c r="I107" s="12"/>
      <c r="J107" s="10"/>
      <c r="K107" s="38" t="s">
        <v>472</v>
      </c>
    </row>
    <row r="108" spans="1:11" hidden="1" x14ac:dyDescent="0.2">
      <c r="A108" s="10">
        <v>2000026022</v>
      </c>
      <c r="B108" s="10" t="s">
        <v>798</v>
      </c>
      <c r="C108" s="10" t="s">
        <v>799</v>
      </c>
      <c r="D108" s="34">
        <v>2000</v>
      </c>
      <c r="E108" s="11">
        <v>3100021599</v>
      </c>
      <c r="F108" s="35" t="s">
        <v>627</v>
      </c>
      <c r="G108" s="36" t="s">
        <v>628</v>
      </c>
      <c r="H108" s="12">
        <v>45196</v>
      </c>
      <c r="I108" s="12"/>
      <c r="J108" s="10"/>
      <c r="K108" s="38" t="s">
        <v>472</v>
      </c>
    </row>
    <row r="109" spans="1:11" x14ac:dyDescent="0.2">
      <c r="A109" s="10">
        <v>2000025818</v>
      </c>
      <c r="B109" s="10" t="s">
        <v>800</v>
      </c>
      <c r="C109" s="10" t="s">
        <v>801</v>
      </c>
      <c r="D109" s="34">
        <v>125</v>
      </c>
      <c r="E109" s="11">
        <v>3100021463</v>
      </c>
      <c r="F109" s="35" t="s">
        <v>514</v>
      </c>
      <c r="G109" s="36" t="s">
        <v>481</v>
      </c>
      <c r="H109" s="12">
        <v>45198</v>
      </c>
      <c r="I109" s="12"/>
      <c r="J109" s="10"/>
      <c r="K109" s="13" t="s">
        <v>687</v>
      </c>
    </row>
    <row r="110" spans="1:11" x14ac:dyDescent="0.2">
      <c r="A110" s="10">
        <v>2000025819</v>
      </c>
      <c r="B110" s="10" t="s">
        <v>802</v>
      </c>
      <c r="C110" s="10" t="s">
        <v>803</v>
      </c>
      <c r="D110" s="34">
        <v>740</v>
      </c>
      <c r="E110" s="11">
        <v>3100021463</v>
      </c>
      <c r="F110" s="35" t="s">
        <v>514</v>
      </c>
      <c r="G110" s="36" t="s">
        <v>481</v>
      </c>
      <c r="H110" s="12">
        <v>45198</v>
      </c>
      <c r="I110" s="12"/>
      <c r="J110" s="10"/>
      <c r="K110" s="13" t="s">
        <v>687</v>
      </c>
    </row>
    <row r="111" spans="1:11" x14ac:dyDescent="0.2">
      <c r="A111" s="10">
        <v>2000025820</v>
      </c>
      <c r="B111" s="10" t="s">
        <v>802</v>
      </c>
      <c r="C111" s="10" t="s">
        <v>803</v>
      </c>
      <c r="D111" s="34">
        <v>25</v>
      </c>
      <c r="E111" s="11">
        <v>3100021463</v>
      </c>
      <c r="F111" s="35" t="s">
        <v>514</v>
      </c>
      <c r="G111" s="36" t="s">
        <v>481</v>
      </c>
      <c r="H111" s="12">
        <v>45198</v>
      </c>
      <c r="I111" s="12"/>
      <c r="J111" s="10"/>
      <c r="K111" s="13" t="s">
        <v>687</v>
      </c>
    </row>
    <row r="112" spans="1:11" x14ac:dyDescent="0.2">
      <c r="A112" s="10">
        <v>2000025821</v>
      </c>
      <c r="B112" s="10" t="s">
        <v>804</v>
      </c>
      <c r="C112" s="10" t="s">
        <v>805</v>
      </c>
      <c r="D112" s="34">
        <v>149</v>
      </c>
      <c r="E112" s="11">
        <v>3100021463</v>
      </c>
      <c r="F112" s="35" t="s">
        <v>514</v>
      </c>
      <c r="G112" s="36" t="s">
        <v>481</v>
      </c>
      <c r="H112" s="12">
        <v>45198</v>
      </c>
      <c r="I112" s="12"/>
      <c r="J112" s="10"/>
      <c r="K112" s="13" t="s">
        <v>687</v>
      </c>
    </row>
    <row r="113" spans="1:11" hidden="1" x14ac:dyDescent="0.2">
      <c r="A113" s="10">
        <v>2000025822</v>
      </c>
      <c r="B113" s="10" t="s">
        <v>806</v>
      </c>
      <c r="C113" s="10" t="s">
        <v>807</v>
      </c>
      <c r="D113" s="34">
        <v>36</v>
      </c>
      <c r="E113" s="11">
        <v>3100021463</v>
      </c>
      <c r="F113" s="35" t="s">
        <v>514</v>
      </c>
      <c r="G113" s="36" t="s">
        <v>481</v>
      </c>
      <c r="H113" s="12">
        <v>45198</v>
      </c>
      <c r="I113" s="12"/>
      <c r="J113" s="10"/>
      <c r="K113" s="13" t="s">
        <v>693</v>
      </c>
    </row>
    <row r="114" spans="1:11" x14ac:dyDescent="0.2">
      <c r="A114" s="10">
        <v>2000025823</v>
      </c>
      <c r="B114" s="10" t="s">
        <v>301</v>
      </c>
      <c r="C114" s="10" t="s">
        <v>302</v>
      </c>
      <c r="D114" s="34">
        <v>19</v>
      </c>
      <c r="E114" s="11">
        <v>3100021463</v>
      </c>
      <c r="F114" s="35" t="s">
        <v>514</v>
      </c>
      <c r="G114" s="36" t="s">
        <v>481</v>
      </c>
      <c r="H114" s="12">
        <v>45198</v>
      </c>
      <c r="I114" s="12"/>
      <c r="J114" s="10"/>
      <c r="K114" s="13" t="s">
        <v>687</v>
      </c>
    </row>
    <row r="115" spans="1:11" x14ac:dyDescent="0.2">
      <c r="A115" s="10">
        <v>2000025840</v>
      </c>
      <c r="B115" s="10" t="s">
        <v>808</v>
      </c>
      <c r="C115" s="10" t="s">
        <v>538</v>
      </c>
      <c r="D115" s="34">
        <v>500</v>
      </c>
      <c r="E115" s="11">
        <v>3100021412</v>
      </c>
      <c r="F115" s="35" t="s">
        <v>472</v>
      </c>
      <c r="G115" s="36" t="s">
        <v>508</v>
      </c>
      <c r="H115" s="12">
        <v>45198</v>
      </c>
      <c r="I115" s="12"/>
      <c r="J115" s="10"/>
      <c r="K115" s="13" t="s">
        <v>687</v>
      </c>
    </row>
    <row r="116" spans="1:11" x14ac:dyDescent="0.2">
      <c r="A116" s="10">
        <v>2000025841</v>
      </c>
      <c r="B116" s="10" t="s">
        <v>809</v>
      </c>
      <c r="C116" s="10" t="s">
        <v>565</v>
      </c>
      <c r="D116" s="34">
        <v>400</v>
      </c>
      <c r="E116" s="11">
        <v>3100021412</v>
      </c>
      <c r="F116" s="35" t="s">
        <v>472</v>
      </c>
      <c r="G116" s="36" t="s">
        <v>508</v>
      </c>
      <c r="H116" s="12">
        <v>45198</v>
      </c>
      <c r="I116" s="12"/>
      <c r="J116" s="10"/>
      <c r="K116" s="13" t="s">
        <v>687</v>
      </c>
    </row>
    <row r="117" spans="1:11" x14ac:dyDescent="0.2">
      <c r="A117" s="10">
        <v>2000025867</v>
      </c>
      <c r="B117" s="10" t="s">
        <v>810</v>
      </c>
      <c r="C117" s="10" t="s">
        <v>811</v>
      </c>
      <c r="D117" s="34">
        <v>388</v>
      </c>
      <c r="E117" s="11">
        <v>3100021463</v>
      </c>
      <c r="F117" s="35" t="s">
        <v>514</v>
      </c>
      <c r="G117" s="36" t="s">
        <v>481</v>
      </c>
      <c r="H117" s="12">
        <v>45198</v>
      </c>
      <c r="I117" s="12"/>
      <c r="J117" s="10"/>
      <c r="K117" s="38" t="s">
        <v>687</v>
      </c>
    </row>
    <row r="118" spans="1:11" hidden="1" x14ac:dyDescent="0.2">
      <c r="A118" s="10">
        <v>2000025974</v>
      </c>
      <c r="B118" s="10" t="s">
        <v>812</v>
      </c>
      <c r="C118" s="10" t="s">
        <v>643</v>
      </c>
      <c r="D118" s="34">
        <v>12</v>
      </c>
      <c r="E118" s="11">
        <v>3100021554</v>
      </c>
      <c r="F118" s="35" t="s">
        <v>495</v>
      </c>
      <c r="G118" s="36" t="s">
        <v>496</v>
      </c>
      <c r="H118" s="12">
        <v>45198</v>
      </c>
      <c r="I118" s="12"/>
      <c r="J118" s="10"/>
      <c r="K118" s="38" t="s">
        <v>472</v>
      </c>
    </row>
    <row r="119" spans="1:11" hidden="1" x14ac:dyDescent="0.2">
      <c r="A119" s="10">
        <v>2000025988</v>
      </c>
      <c r="B119" s="10" t="s">
        <v>813</v>
      </c>
      <c r="C119" s="10" t="s">
        <v>814</v>
      </c>
      <c r="D119" s="34">
        <v>256</v>
      </c>
      <c r="E119" s="11">
        <v>3100021561</v>
      </c>
      <c r="F119" s="35" t="s">
        <v>626</v>
      </c>
      <c r="G119" s="36" t="s">
        <v>570</v>
      </c>
      <c r="H119" s="12">
        <v>45198</v>
      </c>
      <c r="I119" s="12"/>
      <c r="J119" s="10"/>
      <c r="K119" s="38" t="s">
        <v>472</v>
      </c>
    </row>
    <row r="120" spans="1:11" hidden="1" x14ac:dyDescent="0.2">
      <c r="A120" s="10">
        <v>2000025612</v>
      </c>
      <c r="B120" s="10" t="s">
        <v>815</v>
      </c>
      <c r="C120" s="10" t="s">
        <v>602</v>
      </c>
      <c r="D120" s="34">
        <v>6</v>
      </c>
      <c r="E120" s="11">
        <v>3100021597</v>
      </c>
      <c r="F120" s="35" t="s">
        <v>540</v>
      </c>
      <c r="G120" s="36" t="s">
        <v>541</v>
      </c>
      <c r="H120" s="12">
        <v>45199</v>
      </c>
      <c r="I120" s="12"/>
      <c r="J120" s="10"/>
      <c r="K120" s="38" t="s">
        <v>472</v>
      </c>
    </row>
    <row r="121" spans="1:11" hidden="1" x14ac:dyDescent="0.2">
      <c r="A121" s="10">
        <v>2000025613</v>
      </c>
      <c r="B121" s="10" t="s">
        <v>815</v>
      </c>
      <c r="C121" s="10" t="s">
        <v>602</v>
      </c>
      <c r="D121" s="34">
        <v>24</v>
      </c>
      <c r="E121" s="11">
        <v>3100021597</v>
      </c>
      <c r="F121" s="35" t="s">
        <v>540</v>
      </c>
      <c r="G121" s="36" t="s">
        <v>541</v>
      </c>
      <c r="H121" s="12">
        <v>45199</v>
      </c>
      <c r="I121" s="12"/>
      <c r="J121" s="10"/>
      <c r="K121" s="38" t="s">
        <v>472</v>
      </c>
    </row>
    <row r="122" spans="1:11" hidden="1" x14ac:dyDescent="0.2">
      <c r="A122" s="10">
        <v>2000025973</v>
      </c>
      <c r="B122" s="10" t="s">
        <v>816</v>
      </c>
      <c r="C122" s="10" t="s">
        <v>817</v>
      </c>
      <c r="D122" s="34">
        <v>5</v>
      </c>
      <c r="E122" s="11">
        <v>3100021625</v>
      </c>
      <c r="F122" s="35" t="s">
        <v>625</v>
      </c>
      <c r="G122" s="36" t="s">
        <v>478</v>
      </c>
      <c r="H122" s="12">
        <v>45199</v>
      </c>
      <c r="I122" s="12"/>
      <c r="J122" s="10"/>
      <c r="K122" s="38" t="s">
        <v>693</v>
      </c>
    </row>
    <row r="123" spans="1:11" hidden="1" x14ac:dyDescent="0.2">
      <c r="A123" s="10">
        <v>2000026025</v>
      </c>
      <c r="B123" s="10" t="s">
        <v>815</v>
      </c>
      <c r="C123" s="10" t="s">
        <v>602</v>
      </c>
      <c r="D123" s="34">
        <v>72</v>
      </c>
      <c r="E123" s="11">
        <v>3100021597</v>
      </c>
      <c r="F123" s="35" t="s">
        <v>540</v>
      </c>
      <c r="G123" s="36" t="s">
        <v>541</v>
      </c>
      <c r="H123" s="12">
        <v>45199</v>
      </c>
      <c r="I123" s="12"/>
      <c r="J123" s="10"/>
      <c r="K123" s="38" t="s">
        <v>472</v>
      </c>
    </row>
    <row r="124" spans="1:11" hidden="1" x14ac:dyDescent="0.2">
      <c r="A124" s="10">
        <v>2000026042</v>
      </c>
      <c r="B124" s="10" t="s">
        <v>816</v>
      </c>
      <c r="C124" s="10" t="s">
        <v>817</v>
      </c>
      <c r="D124" s="34">
        <v>404</v>
      </c>
      <c r="E124" s="11">
        <v>3100021625</v>
      </c>
      <c r="F124" s="35" t="s">
        <v>625</v>
      </c>
      <c r="G124" s="36" t="s">
        <v>478</v>
      </c>
      <c r="H124" s="12">
        <v>45199</v>
      </c>
      <c r="I124" s="12"/>
      <c r="J124" s="10"/>
      <c r="K124" s="38" t="s">
        <v>693</v>
      </c>
    </row>
    <row r="125" spans="1:11" hidden="1" x14ac:dyDescent="0.2">
      <c r="A125" s="10">
        <v>2000025488</v>
      </c>
      <c r="B125" s="10" t="s">
        <v>818</v>
      </c>
      <c r="C125" s="10" t="s">
        <v>617</v>
      </c>
      <c r="D125" s="34">
        <v>1700</v>
      </c>
      <c r="E125" s="11">
        <v>3100021092</v>
      </c>
      <c r="F125" s="35" t="s">
        <v>519</v>
      </c>
      <c r="G125" s="36" t="s">
        <v>498</v>
      </c>
      <c r="H125" s="12">
        <v>45200</v>
      </c>
      <c r="I125" s="12"/>
      <c r="J125" s="10"/>
      <c r="K125" s="38" t="s">
        <v>472</v>
      </c>
    </row>
    <row r="126" spans="1:11" hidden="1" x14ac:dyDescent="0.2">
      <c r="A126" s="10">
        <v>2000025682</v>
      </c>
      <c r="B126" s="10" t="s">
        <v>818</v>
      </c>
      <c r="C126" s="10" t="s">
        <v>617</v>
      </c>
      <c r="D126" s="34">
        <v>1500</v>
      </c>
      <c r="E126" s="11">
        <v>3100021092</v>
      </c>
      <c r="F126" s="35" t="s">
        <v>519</v>
      </c>
      <c r="G126" s="36" t="s">
        <v>498</v>
      </c>
      <c r="H126" s="12">
        <v>45200</v>
      </c>
      <c r="I126" s="12"/>
      <c r="J126" s="10"/>
      <c r="K126" s="38" t="s">
        <v>472</v>
      </c>
    </row>
    <row r="127" spans="1:11" hidden="1" x14ac:dyDescent="0.2">
      <c r="A127" s="10">
        <v>2000025918</v>
      </c>
      <c r="B127" s="10" t="s">
        <v>818</v>
      </c>
      <c r="C127" s="10" t="s">
        <v>617</v>
      </c>
      <c r="D127" s="34">
        <v>1500</v>
      </c>
      <c r="E127" s="11">
        <v>3100021092</v>
      </c>
      <c r="F127" s="35" t="s">
        <v>519</v>
      </c>
      <c r="G127" s="36" t="s">
        <v>498</v>
      </c>
      <c r="H127" s="12">
        <v>45200</v>
      </c>
      <c r="I127" s="12"/>
      <c r="J127" s="10"/>
      <c r="K127" s="38" t="s">
        <v>472</v>
      </c>
    </row>
    <row r="128" spans="1:11" hidden="1" x14ac:dyDescent="0.2">
      <c r="A128" s="10">
        <v>2000026049</v>
      </c>
      <c r="B128" s="10" t="s">
        <v>818</v>
      </c>
      <c r="C128" s="10" t="s">
        <v>617</v>
      </c>
      <c r="D128" s="34">
        <v>943</v>
      </c>
      <c r="E128" s="11">
        <v>3100021092</v>
      </c>
      <c r="F128" s="35" t="s">
        <v>519</v>
      </c>
      <c r="G128" s="36" t="s">
        <v>498</v>
      </c>
      <c r="H128" s="12">
        <v>45200</v>
      </c>
      <c r="I128" s="12"/>
      <c r="J128" s="10"/>
      <c r="K128" s="38" t="s">
        <v>472</v>
      </c>
    </row>
    <row r="129" spans="1:11" hidden="1" x14ac:dyDescent="0.2">
      <c r="A129" s="10">
        <v>2000025564</v>
      </c>
      <c r="B129" s="10" t="s">
        <v>819</v>
      </c>
      <c r="C129" s="10" t="s">
        <v>588</v>
      </c>
      <c r="D129" s="34">
        <v>51</v>
      </c>
      <c r="E129" s="11">
        <v>3100021262</v>
      </c>
      <c r="F129" s="35" t="s">
        <v>472</v>
      </c>
      <c r="G129" s="36" t="s">
        <v>473</v>
      </c>
      <c r="H129" s="12">
        <v>45201</v>
      </c>
      <c r="I129" s="12"/>
      <c r="J129" s="10"/>
      <c r="K129" s="13" t="s">
        <v>693</v>
      </c>
    </row>
    <row r="130" spans="1:11" hidden="1" x14ac:dyDescent="0.2">
      <c r="A130" s="10">
        <v>2000025565</v>
      </c>
      <c r="B130" s="10" t="s">
        <v>820</v>
      </c>
      <c r="C130" s="10" t="s">
        <v>589</v>
      </c>
      <c r="D130" s="34">
        <v>87</v>
      </c>
      <c r="E130" s="11">
        <v>3100021262</v>
      </c>
      <c r="F130" s="35" t="s">
        <v>472</v>
      </c>
      <c r="G130" s="36" t="s">
        <v>473</v>
      </c>
      <c r="H130" s="12">
        <v>45201</v>
      </c>
      <c r="I130" s="12"/>
      <c r="J130" s="10"/>
      <c r="K130" s="13" t="s">
        <v>693</v>
      </c>
    </row>
    <row r="131" spans="1:11" x14ac:dyDescent="0.2">
      <c r="A131" s="10">
        <v>2000025566</v>
      </c>
      <c r="B131" s="10" t="s">
        <v>821</v>
      </c>
      <c r="C131" s="10" t="s">
        <v>590</v>
      </c>
      <c r="D131" s="34">
        <v>138</v>
      </c>
      <c r="E131" s="11">
        <v>3100021262</v>
      </c>
      <c r="F131" s="35" t="s">
        <v>472</v>
      </c>
      <c r="G131" s="36" t="s">
        <v>473</v>
      </c>
      <c r="H131" s="12">
        <v>45201</v>
      </c>
      <c r="I131" s="12"/>
      <c r="J131" s="10"/>
      <c r="K131" s="13" t="s">
        <v>687</v>
      </c>
    </row>
    <row r="132" spans="1:11" x14ac:dyDescent="0.2">
      <c r="A132" s="10">
        <v>2000025934</v>
      </c>
      <c r="B132" s="10" t="s">
        <v>822</v>
      </c>
      <c r="C132" s="10" t="s">
        <v>823</v>
      </c>
      <c r="D132" s="34">
        <v>15</v>
      </c>
      <c r="E132" s="11">
        <v>3100021586</v>
      </c>
      <c r="F132" s="35" t="s">
        <v>569</v>
      </c>
      <c r="G132" s="36" t="s">
        <v>570</v>
      </c>
      <c r="H132" s="12">
        <v>45201</v>
      </c>
      <c r="I132" s="12"/>
      <c r="J132" s="10"/>
      <c r="K132" s="13" t="s">
        <v>687</v>
      </c>
    </row>
    <row r="133" spans="1:11" x14ac:dyDescent="0.2">
      <c r="A133" s="10">
        <v>2000026013</v>
      </c>
      <c r="B133" s="10" t="s">
        <v>822</v>
      </c>
      <c r="C133" s="10" t="s">
        <v>823</v>
      </c>
      <c r="D133" s="34">
        <v>1470</v>
      </c>
      <c r="E133" s="11">
        <v>3100021586</v>
      </c>
      <c r="F133" s="35" t="s">
        <v>569</v>
      </c>
      <c r="G133" s="36" t="s">
        <v>570</v>
      </c>
      <c r="H133" s="12">
        <v>45201</v>
      </c>
      <c r="I133" s="12"/>
      <c r="J133" s="10"/>
      <c r="K133" s="13" t="s">
        <v>687</v>
      </c>
    </row>
    <row r="134" spans="1:11" x14ac:dyDescent="0.2">
      <c r="A134" s="10">
        <v>2000026014</v>
      </c>
      <c r="B134" s="10" t="s">
        <v>824</v>
      </c>
      <c r="C134" s="10" t="s">
        <v>825</v>
      </c>
      <c r="D134" s="34">
        <v>96</v>
      </c>
      <c r="E134" s="11">
        <v>3100021586</v>
      </c>
      <c r="F134" s="35" t="s">
        <v>569</v>
      </c>
      <c r="G134" s="36" t="s">
        <v>570</v>
      </c>
      <c r="H134" s="12">
        <v>45201</v>
      </c>
      <c r="I134" s="12"/>
      <c r="J134" s="10"/>
      <c r="K134" s="13" t="s">
        <v>687</v>
      </c>
    </row>
    <row r="135" spans="1:11" x14ac:dyDescent="0.2">
      <c r="A135" s="10">
        <v>2000026015</v>
      </c>
      <c r="B135" s="10" t="s">
        <v>826</v>
      </c>
      <c r="C135" s="10" t="s">
        <v>827</v>
      </c>
      <c r="D135" s="34">
        <v>40</v>
      </c>
      <c r="E135" s="11">
        <v>3100021586</v>
      </c>
      <c r="F135" s="35" t="s">
        <v>569</v>
      </c>
      <c r="G135" s="36" t="s">
        <v>570</v>
      </c>
      <c r="H135" s="12">
        <v>45201</v>
      </c>
      <c r="I135" s="12"/>
      <c r="J135" s="10"/>
      <c r="K135" s="13" t="s">
        <v>687</v>
      </c>
    </row>
    <row r="136" spans="1:11" hidden="1" x14ac:dyDescent="0.2">
      <c r="A136" s="10">
        <v>2000026016</v>
      </c>
      <c r="B136" s="10" t="s">
        <v>828</v>
      </c>
      <c r="C136" s="10" t="s">
        <v>829</v>
      </c>
      <c r="D136" s="34">
        <v>36</v>
      </c>
      <c r="E136" s="11">
        <v>3100021586</v>
      </c>
      <c r="F136" s="35" t="s">
        <v>569</v>
      </c>
      <c r="G136" s="36" t="s">
        <v>570</v>
      </c>
      <c r="H136" s="12">
        <v>45201</v>
      </c>
      <c r="I136" s="12"/>
      <c r="J136" s="10"/>
      <c r="K136" s="13" t="s">
        <v>693</v>
      </c>
    </row>
    <row r="137" spans="1:11" hidden="1" x14ac:dyDescent="0.2">
      <c r="A137" s="10">
        <v>2000026017</v>
      </c>
      <c r="B137" s="10" t="s">
        <v>830</v>
      </c>
      <c r="C137" s="10" t="s">
        <v>831</v>
      </c>
      <c r="D137" s="34">
        <v>32</v>
      </c>
      <c r="E137" s="11">
        <v>3100021586</v>
      </c>
      <c r="F137" s="35" t="s">
        <v>569</v>
      </c>
      <c r="G137" s="36" t="s">
        <v>570</v>
      </c>
      <c r="H137" s="12">
        <v>45201</v>
      </c>
      <c r="I137" s="12"/>
      <c r="J137" s="10"/>
      <c r="K137" s="13" t="s">
        <v>693</v>
      </c>
    </row>
    <row r="138" spans="1:11" x14ac:dyDescent="0.2">
      <c r="A138" s="10">
        <v>2000026018</v>
      </c>
      <c r="B138" s="10" t="s">
        <v>832</v>
      </c>
      <c r="C138" s="10" t="s">
        <v>833</v>
      </c>
      <c r="D138" s="34">
        <v>24</v>
      </c>
      <c r="E138" s="11">
        <v>3100021589</v>
      </c>
      <c r="F138" s="35" t="s">
        <v>571</v>
      </c>
      <c r="G138" s="36" t="s">
        <v>572</v>
      </c>
      <c r="H138" s="12">
        <v>45201</v>
      </c>
      <c r="I138" s="12"/>
      <c r="J138" s="10"/>
      <c r="K138" s="13" t="s">
        <v>687</v>
      </c>
    </row>
    <row r="139" spans="1:11" x14ac:dyDescent="0.2">
      <c r="A139" s="10">
        <v>2000026019</v>
      </c>
      <c r="B139" s="10" t="s">
        <v>822</v>
      </c>
      <c r="C139" s="10" t="s">
        <v>823</v>
      </c>
      <c r="D139" s="34">
        <v>122</v>
      </c>
      <c r="E139" s="11">
        <v>3100021586</v>
      </c>
      <c r="F139" s="35" t="s">
        <v>569</v>
      </c>
      <c r="G139" s="36" t="s">
        <v>570</v>
      </c>
      <c r="H139" s="12">
        <v>45201</v>
      </c>
      <c r="I139" s="12"/>
      <c r="J139" s="10"/>
      <c r="K139" s="13" t="s">
        <v>687</v>
      </c>
    </row>
    <row r="140" spans="1:11" hidden="1" x14ac:dyDescent="0.2">
      <c r="A140" s="10">
        <v>2000025978</v>
      </c>
      <c r="B140" s="10" t="s">
        <v>834</v>
      </c>
      <c r="C140" s="10" t="s">
        <v>835</v>
      </c>
      <c r="D140" s="34">
        <v>8</v>
      </c>
      <c r="E140" s="11">
        <v>3100021567</v>
      </c>
      <c r="F140" s="35" t="s">
        <v>484</v>
      </c>
      <c r="G140" s="36" t="s">
        <v>481</v>
      </c>
      <c r="H140" s="12">
        <v>45202</v>
      </c>
      <c r="I140" s="12"/>
      <c r="J140" s="10"/>
      <c r="K140" s="38" t="s">
        <v>693</v>
      </c>
    </row>
    <row r="141" spans="1:11" hidden="1" x14ac:dyDescent="0.2">
      <c r="A141" s="10">
        <v>2000025989</v>
      </c>
      <c r="B141" s="10" t="s">
        <v>836</v>
      </c>
      <c r="C141" s="10" t="s">
        <v>837</v>
      </c>
      <c r="D141" s="34">
        <v>3</v>
      </c>
      <c r="E141" s="11">
        <v>3100021567</v>
      </c>
      <c r="F141" s="35" t="s">
        <v>484</v>
      </c>
      <c r="G141" s="36" t="s">
        <v>481</v>
      </c>
      <c r="H141" s="12">
        <v>45202</v>
      </c>
      <c r="I141" s="12"/>
      <c r="J141" s="10"/>
      <c r="K141" s="38" t="s">
        <v>693</v>
      </c>
    </row>
    <row r="142" spans="1:11" hidden="1" x14ac:dyDescent="0.2">
      <c r="A142" s="10">
        <v>2000025990</v>
      </c>
      <c r="B142" s="10" t="s">
        <v>834</v>
      </c>
      <c r="C142" s="10" t="s">
        <v>835</v>
      </c>
      <c r="D142" s="34">
        <v>3</v>
      </c>
      <c r="E142" s="11">
        <v>3100021567</v>
      </c>
      <c r="F142" s="35" t="s">
        <v>484</v>
      </c>
      <c r="G142" s="36" t="s">
        <v>481</v>
      </c>
      <c r="H142" s="12">
        <v>45202</v>
      </c>
      <c r="I142" s="12"/>
      <c r="J142" s="10"/>
      <c r="K142" s="38" t="s">
        <v>693</v>
      </c>
    </row>
    <row r="143" spans="1:11" hidden="1" x14ac:dyDescent="0.2">
      <c r="A143" s="10">
        <v>2000025992</v>
      </c>
      <c r="B143" s="10" t="s">
        <v>838</v>
      </c>
      <c r="C143" s="10" t="s">
        <v>839</v>
      </c>
      <c r="D143" s="34">
        <v>1</v>
      </c>
      <c r="E143" s="11">
        <v>3100021567</v>
      </c>
      <c r="F143" s="35" t="s">
        <v>484</v>
      </c>
      <c r="G143" s="36" t="s">
        <v>481</v>
      </c>
      <c r="H143" s="12">
        <v>45202</v>
      </c>
      <c r="I143" s="12"/>
      <c r="J143" s="10"/>
      <c r="K143" s="38" t="s">
        <v>693</v>
      </c>
    </row>
    <row r="144" spans="1:11" hidden="1" x14ac:dyDescent="0.2">
      <c r="A144" s="10">
        <v>2000025994</v>
      </c>
      <c r="B144" s="10" t="s">
        <v>840</v>
      </c>
      <c r="C144" s="10" t="s">
        <v>841</v>
      </c>
      <c r="D144" s="34">
        <v>3</v>
      </c>
      <c r="E144" s="11">
        <v>3100021567</v>
      </c>
      <c r="F144" s="35" t="s">
        <v>484</v>
      </c>
      <c r="G144" s="36" t="s">
        <v>481</v>
      </c>
      <c r="H144" s="12">
        <v>45202</v>
      </c>
      <c r="I144" s="12"/>
      <c r="J144" s="10"/>
      <c r="K144" s="38" t="s">
        <v>693</v>
      </c>
    </row>
    <row r="145" spans="1:11" hidden="1" x14ac:dyDescent="0.2">
      <c r="A145" s="10">
        <v>2000025748</v>
      </c>
      <c r="B145" s="10" t="s">
        <v>791</v>
      </c>
      <c r="C145" s="10" t="s">
        <v>792</v>
      </c>
      <c r="D145" s="34">
        <v>30</v>
      </c>
      <c r="E145" s="10">
        <v>3100021501</v>
      </c>
      <c r="F145" s="10" t="s">
        <v>515</v>
      </c>
      <c r="G145" s="36" t="s">
        <v>481</v>
      </c>
      <c r="H145" s="12">
        <v>45205</v>
      </c>
      <c r="I145" s="12"/>
      <c r="J145" s="10"/>
      <c r="K145" s="13" t="s">
        <v>693</v>
      </c>
    </row>
    <row r="146" spans="1:11" hidden="1" x14ac:dyDescent="0.2">
      <c r="A146" s="10">
        <v>2000025741</v>
      </c>
      <c r="B146" s="10" t="s">
        <v>842</v>
      </c>
      <c r="C146" s="10" t="s">
        <v>598</v>
      </c>
      <c r="D146" s="34">
        <v>23</v>
      </c>
      <c r="E146" s="11">
        <v>3100021567</v>
      </c>
      <c r="F146" s="35" t="s">
        <v>484</v>
      </c>
      <c r="G146" s="36" t="s">
        <v>481</v>
      </c>
      <c r="H146" s="12">
        <v>45205</v>
      </c>
      <c r="I146" s="12"/>
      <c r="J146" s="10"/>
      <c r="K146" s="38" t="s">
        <v>693</v>
      </c>
    </row>
    <row r="147" spans="1:11" hidden="1" x14ac:dyDescent="0.2">
      <c r="A147" s="10">
        <v>2000025742</v>
      </c>
      <c r="B147" s="10" t="s">
        <v>843</v>
      </c>
      <c r="C147" s="10" t="s">
        <v>597</v>
      </c>
      <c r="D147" s="34">
        <v>113</v>
      </c>
      <c r="E147" s="11">
        <v>3100021567</v>
      </c>
      <c r="F147" s="35" t="s">
        <v>484</v>
      </c>
      <c r="G147" s="36" t="s">
        <v>481</v>
      </c>
      <c r="H147" s="12">
        <v>45205</v>
      </c>
      <c r="I147" s="12"/>
      <c r="J147" s="10"/>
      <c r="K147" s="38" t="s">
        <v>693</v>
      </c>
    </row>
    <row r="148" spans="1:11" hidden="1" x14ac:dyDescent="0.2">
      <c r="A148" s="10">
        <v>2000025743</v>
      </c>
      <c r="B148" s="10" t="s">
        <v>844</v>
      </c>
      <c r="C148" s="10" t="s">
        <v>593</v>
      </c>
      <c r="D148" s="34">
        <v>26</v>
      </c>
      <c r="E148" s="11">
        <v>3100021567</v>
      </c>
      <c r="F148" s="35" t="s">
        <v>484</v>
      </c>
      <c r="G148" s="36" t="s">
        <v>481</v>
      </c>
      <c r="H148" s="12">
        <v>45205</v>
      </c>
      <c r="I148" s="12"/>
      <c r="J148" s="10"/>
      <c r="K148" s="38" t="s">
        <v>693</v>
      </c>
    </row>
    <row r="149" spans="1:11" hidden="1" x14ac:dyDescent="0.2">
      <c r="A149" s="10">
        <v>2000025744</v>
      </c>
      <c r="B149" s="10" t="s">
        <v>845</v>
      </c>
      <c r="C149" s="10" t="s">
        <v>846</v>
      </c>
      <c r="D149" s="34">
        <v>2</v>
      </c>
      <c r="E149" s="11">
        <v>3100021450</v>
      </c>
      <c r="F149" s="35" t="s">
        <v>484</v>
      </c>
      <c r="G149" s="36" t="s">
        <v>481</v>
      </c>
      <c r="H149" s="12">
        <v>45205</v>
      </c>
      <c r="I149" s="12"/>
      <c r="J149" s="10"/>
      <c r="K149" s="38" t="s">
        <v>693</v>
      </c>
    </row>
    <row r="150" spans="1:11" hidden="1" x14ac:dyDescent="0.2">
      <c r="A150" s="10">
        <v>2000025746</v>
      </c>
      <c r="B150" s="10" t="s">
        <v>847</v>
      </c>
      <c r="C150" s="10" t="s">
        <v>596</v>
      </c>
      <c r="D150" s="34">
        <v>6</v>
      </c>
      <c r="E150" s="11">
        <v>3100021501</v>
      </c>
      <c r="F150" s="35" t="s">
        <v>515</v>
      </c>
      <c r="G150" s="36" t="s">
        <v>481</v>
      </c>
      <c r="H150" s="12">
        <v>45205</v>
      </c>
      <c r="I150" s="12"/>
      <c r="J150" s="10"/>
      <c r="K150" s="38" t="s">
        <v>693</v>
      </c>
    </row>
    <row r="151" spans="1:11" hidden="1" x14ac:dyDescent="0.2">
      <c r="A151" s="10">
        <v>2000025747</v>
      </c>
      <c r="B151" s="10" t="s">
        <v>848</v>
      </c>
      <c r="C151" s="10" t="s">
        <v>849</v>
      </c>
      <c r="D151" s="34">
        <v>30</v>
      </c>
      <c r="E151" s="11">
        <v>3100021450</v>
      </c>
      <c r="F151" s="35" t="s">
        <v>484</v>
      </c>
      <c r="G151" s="36" t="s">
        <v>481</v>
      </c>
      <c r="H151" s="12">
        <v>45205</v>
      </c>
      <c r="I151" s="12"/>
      <c r="J151" s="10"/>
      <c r="K151" s="38" t="s">
        <v>693</v>
      </c>
    </row>
    <row r="152" spans="1:11" x14ac:dyDescent="0.2">
      <c r="A152" s="10">
        <v>2000025749</v>
      </c>
      <c r="B152" s="10" t="s">
        <v>850</v>
      </c>
      <c r="C152" s="10" t="s">
        <v>851</v>
      </c>
      <c r="D152" s="34">
        <v>9</v>
      </c>
      <c r="E152" s="11">
        <v>3100021567</v>
      </c>
      <c r="F152" s="35" t="s">
        <v>484</v>
      </c>
      <c r="G152" s="36" t="s">
        <v>481</v>
      </c>
      <c r="H152" s="12">
        <v>45205</v>
      </c>
      <c r="I152" s="12"/>
      <c r="J152" s="10"/>
      <c r="K152" s="13" t="s">
        <v>687</v>
      </c>
    </row>
    <row r="153" spans="1:11" x14ac:dyDescent="0.2">
      <c r="A153" s="10">
        <v>2000025750</v>
      </c>
      <c r="B153" s="10" t="s">
        <v>852</v>
      </c>
      <c r="C153" s="10" t="s">
        <v>853</v>
      </c>
      <c r="D153" s="34">
        <v>15</v>
      </c>
      <c r="E153" s="11">
        <v>3100021501</v>
      </c>
      <c r="F153" s="35" t="s">
        <v>515</v>
      </c>
      <c r="G153" s="36" t="s">
        <v>481</v>
      </c>
      <c r="H153" s="12">
        <v>45205</v>
      </c>
      <c r="I153" s="12"/>
      <c r="J153" s="10"/>
      <c r="K153" s="13" t="s">
        <v>687</v>
      </c>
    </row>
    <row r="154" spans="1:11" x14ac:dyDescent="0.2">
      <c r="A154" s="10">
        <v>2000025751</v>
      </c>
      <c r="B154" s="10" t="s">
        <v>854</v>
      </c>
      <c r="C154" s="10" t="s">
        <v>855</v>
      </c>
      <c r="D154" s="34">
        <v>29</v>
      </c>
      <c r="E154" s="11">
        <v>3100021501</v>
      </c>
      <c r="F154" s="35" t="s">
        <v>515</v>
      </c>
      <c r="G154" s="36" t="s">
        <v>481</v>
      </c>
      <c r="H154" s="12">
        <v>45205</v>
      </c>
      <c r="I154" s="12"/>
      <c r="J154" s="10"/>
      <c r="K154" s="13" t="s">
        <v>687</v>
      </c>
    </row>
    <row r="155" spans="1:11" hidden="1" x14ac:dyDescent="0.2">
      <c r="A155" s="10">
        <v>2000025753</v>
      </c>
      <c r="B155" s="10" t="s">
        <v>856</v>
      </c>
      <c r="C155" s="10" t="s">
        <v>857</v>
      </c>
      <c r="D155" s="34">
        <v>9</v>
      </c>
      <c r="E155" s="11">
        <v>3100021567</v>
      </c>
      <c r="F155" s="35" t="s">
        <v>484</v>
      </c>
      <c r="G155" s="36" t="s">
        <v>481</v>
      </c>
      <c r="H155" s="12">
        <v>45205</v>
      </c>
      <c r="I155" s="12"/>
      <c r="J155" s="10"/>
      <c r="K155" s="13" t="s">
        <v>693</v>
      </c>
    </row>
    <row r="156" spans="1:11" hidden="1" x14ac:dyDescent="0.2">
      <c r="A156" s="10">
        <v>2000025754</v>
      </c>
      <c r="B156" s="10" t="s">
        <v>858</v>
      </c>
      <c r="C156" s="10" t="s">
        <v>859</v>
      </c>
      <c r="D156" s="34">
        <v>5</v>
      </c>
      <c r="E156" s="11">
        <v>3100021567</v>
      </c>
      <c r="F156" s="35" t="s">
        <v>484</v>
      </c>
      <c r="G156" s="36" t="s">
        <v>481</v>
      </c>
      <c r="H156" s="12">
        <v>45205</v>
      </c>
      <c r="I156" s="12"/>
      <c r="J156" s="10"/>
      <c r="K156" s="13" t="s">
        <v>693</v>
      </c>
    </row>
    <row r="157" spans="1:11" hidden="1" x14ac:dyDescent="0.2">
      <c r="A157" s="10">
        <v>2000025755</v>
      </c>
      <c r="B157" s="10" t="s">
        <v>860</v>
      </c>
      <c r="C157" s="10" t="s">
        <v>861</v>
      </c>
      <c r="D157" s="34">
        <v>21</v>
      </c>
      <c r="E157" s="11">
        <v>3100021567</v>
      </c>
      <c r="F157" s="35" t="s">
        <v>484</v>
      </c>
      <c r="G157" s="36" t="s">
        <v>481</v>
      </c>
      <c r="H157" s="12">
        <v>45205</v>
      </c>
      <c r="I157" s="12"/>
      <c r="J157" s="10"/>
      <c r="K157" s="13" t="s">
        <v>693</v>
      </c>
    </row>
    <row r="158" spans="1:11" hidden="1" x14ac:dyDescent="0.2">
      <c r="A158" s="10">
        <v>2000025756</v>
      </c>
      <c r="B158" s="10" t="s">
        <v>862</v>
      </c>
      <c r="C158" s="10" t="s">
        <v>863</v>
      </c>
      <c r="D158" s="34">
        <v>9</v>
      </c>
      <c r="E158" s="11">
        <v>3100021450</v>
      </c>
      <c r="F158" s="35" t="s">
        <v>484</v>
      </c>
      <c r="G158" s="36" t="s">
        <v>481</v>
      </c>
      <c r="H158" s="12">
        <v>45205</v>
      </c>
      <c r="I158" s="12"/>
      <c r="J158" s="10"/>
      <c r="K158" s="13" t="s">
        <v>693</v>
      </c>
    </row>
    <row r="159" spans="1:11" hidden="1" x14ac:dyDescent="0.2">
      <c r="A159" s="10">
        <v>2000025757</v>
      </c>
      <c r="B159" s="10" t="s">
        <v>864</v>
      </c>
      <c r="C159" s="10" t="s">
        <v>865</v>
      </c>
      <c r="D159" s="34">
        <v>13</v>
      </c>
      <c r="E159" s="11">
        <v>3100021501</v>
      </c>
      <c r="F159" s="35" t="s">
        <v>515</v>
      </c>
      <c r="G159" s="36" t="s">
        <v>481</v>
      </c>
      <c r="H159" s="12">
        <v>45205</v>
      </c>
      <c r="I159" s="12"/>
      <c r="J159" s="10"/>
      <c r="K159" s="13" t="s">
        <v>693</v>
      </c>
    </row>
    <row r="160" spans="1:11" hidden="1" x14ac:dyDescent="0.2">
      <c r="A160" s="10">
        <v>2000025758</v>
      </c>
      <c r="B160" s="10" t="s">
        <v>866</v>
      </c>
      <c r="C160" s="10" t="s">
        <v>867</v>
      </c>
      <c r="D160" s="34">
        <v>5</v>
      </c>
      <c r="E160" s="11">
        <v>3100021501</v>
      </c>
      <c r="F160" s="35" t="s">
        <v>515</v>
      </c>
      <c r="G160" s="36" t="s">
        <v>481</v>
      </c>
      <c r="H160" s="12">
        <v>45205</v>
      </c>
      <c r="I160" s="12"/>
      <c r="J160" s="10"/>
      <c r="K160" s="13" t="s">
        <v>693</v>
      </c>
    </row>
    <row r="161" spans="1:11" hidden="1" x14ac:dyDescent="0.2">
      <c r="A161" s="10">
        <v>2000025759</v>
      </c>
      <c r="B161" s="10" t="s">
        <v>868</v>
      </c>
      <c r="C161" s="10" t="s">
        <v>869</v>
      </c>
      <c r="D161" s="34">
        <v>7</v>
      </c>
      <c r="E161" s="11">
        <v>3100021501</v>
      </c>
      <c r="F161" s="35" t="s">
        <v>515</v>
      </c>
      <c r="G161" s="36" t="s">
        <v>481</v>
      </c>
      <c r="H161" s="12">
        <v>45205</v>
      </c>
      <c r="I161" s="12"/>
      <c r="J161" s="10"/>
      <c r="K161" s="13" t="s">
        <v>693</v>
      </c>
    </row>
    <row r="162" spans="1:11" hidden="1" x14ac:dyDescent="0.2">
      <c r="A162" s="10">
        <v>2000025760</v>
      </c>
      <c r="B162" s="10" t="s">
        <v>870</v>
      </c>
      <c r="C162" s="10" t="s">
        <v>871</v>
      </c>
      <c r="D162" s="34">
        <v>9</v>
      </c>
      <c r="E162" s="11">
        <v>3100021501</v>
      </c>
      <c r="F162" s="35" t="s">
        <v>515</v>
      </c>
      <c r="G162" s="36" t="s">
        <v>481</v>
      </c>
      <c r="H162" s="12">
        <v>45205</v>
      </c>
      <c r="I162" s="12"/>
      <c r="J162" s="10"/>
      <c r="K162" s="13" t="s">
        <v>693</v>
      </c>
    </row>
    <row r="163" spans="1:11" x14ac:dyDescent="0.2">
      <c r="A163" s="10">
        <v>2000025762</v>
      </c>
      <c r="B163" s="10" t="s">
        <v>872</v>
      </c>
      <c r="C163" s="10" t="s">
        <v>873</v>
      </c>
      <c r="D163" s="34">
        <v>29</v>
      </c>
      <c r="E163" s="11">
        <v>3100021567</v>
      </c>
      <c r="F163" s="35" t="s">
        <v>484</v>
      </c>
      <c r="G163" s="36" t="s">
        <v>481</v>
      </c>
      <c r="H163" s="12">
        <v>45205</v>
      </c>
      <c r="I163" s="12"/>
      <c r="J163" s="10"/>
      <c r="K163" s="13" t="s">
        <v>687</v>
      </c>
    </row>
    <row r="164" spans="1:11" hidden="1" x14ac:dyDescent="0.2">
      <c r="A164" s="10">
        <v>2000025763</v>
      </c>
      <c r="B164" s="10" t="s">
        <v>874</v>
      </c>
      <c r="C164" s="10" t="s">
        <v>875</v>
      </c>
      <c r="D164" s="34">
        <v>11</v>
      </c>
      <c r="E164" s="11">
        <v>3100021567</v>
      </c>
      <c r="F164" s="35" t="s">
        <v>484</v>
      </c>
      <c r="G164" s="36" t="s">
        <v>481</v>
      </c>
      <c r="H164" s="12">
        <v>45205</v>
      </c>
      <c r="I164" s="12"/>
      <c r="J164" s="10"/>
      <c r="K164" s="13" t="s">
        <v>693</v>
      </c>
    </row>
    <row r="165" spans="1:11" x14ac:dyDescent="0.2">
      <c r="A165" s="10">
        <v>2000025764</v>
      </c>
      <c r="B165" s="10" t="s">
        <v>876</v>
      </c>
      <c r="C165" s="10" t="s">
        <v>877</v>
      </c>
      <c r="D165" s="34">
        <v>192</v>
      </c>
      <c r="E165" s="11">
        <v>3100021567</v>
      </c>
      <c r="F165" s="35" t="s">
        <v>484</v>
      </c>
      <c r="G165" s="36" t="s">
        <v>481</v>
      </c>
      <c r="H165" s="12">
        <v>45205</v>
      </c>
      <c r="I165" s="12"/>
      <c r="J165" s="10"/>
      <c r="K165" s="13" t="s">
        <v>687</v>
      </c>
    </row>
    <row r="166" spans="1:11" hidden="1" x14ac:dyDescent="0.2">
      <c r="A166" s="10">
        <v>2000025766</v>
      </c>
      <c r="B166" s="10" t="s">
        <v>878</v>
      </c>
      <c r="C166" s="10" t="s">
        <v>564</v>
      </c>
      <c r="D166" s="34">
        <v>40</v>
      </c>
      <c r="E166" s="11">
        <v>3100021567</v>
      </c>
      <c r="F166" s="35" t="s">
        <v>484</v>
      </c>
      <c r="G166" s="36" t="s">
        <v>481</v>
      </c>
      <c r="H166" s="12">
        <v>45205</v>
      </c>
      <c r="I166" s="12"/>
      <c r="J166" s="10"/>
      <c r="K166" s="13" t="s">
        <v>693</v>
      </c>
    </row>
    <row r="167" spans="1:11" hidden="1" x14ac:dyDescent="0.2">
      <c r="A167" s="10">
        <v>2000025767</v>
      </c>
      <c r="B167" s="10" t="s">
        <v>879</v>
      </c>
      <c r="C167" s="10" t="s">
        <v>563</v>
      </c>
      <c r="D167" s="34">
        <v>97</v>
      </c>
      <c r="E167" s="11">
        <v>3100021567</v>
      </c>
      <c r="F167" s="35" t="s">
        <v>484</v>
      </c>
      <c r="G167" s="36" t="s">
        <v>481</v>
      </c>
      <c r="H167" s="12">
        <v>45205</v>
      </c>
      <c r="I167" s="12"/>
      <c r="J167" s="10"/>
      <c r="K167" s="13" t="s">
        <v>693</v>
      </c>
    </row>
    <row r="168" spans="1:11" x14ac:dyDescent="0.2">
      <c r="A168" s="10">
        <v>2000025768</v>
      </c>
      <c r="B168" s="10" t="s">
        <v>880</v>
      </c>
      <c r="C168" s="10" t="s">
        <v>561</v>
      </c>
      <c r="D168" s="34">
        <v>57</v>
      </c>
      <c r="E168" s="11">
        <v>3100021567</v>
      </c>
      <c r="F168" s="35" t="s">
        <v>484</v>
      </c>
      <c r="G168" s="36" t="s">
        <v>481</v>
      </c>
      <c r="H168" s="12">
        <v>45205</v>
      </c>
      <c r="I168" s="12"/>
      <c r="J168" s="10"/>
      <c r="K168" s="13" t="s">
        <v>687</v>
      </c>
    </row>
    <row r="169" spans="1:11" x14ac:dyDescent="0.2">
      <c r="A169" s="10">
        <v>2000025769</v>
      </c>
      <c r="B169" s="10" t="s">
        <v>881</v>
      </c>
      <c r="C169" s="10" t="s">
        <v>560</v>
      </c>
      <c r="D169" s="34">
        <v>21</v>
      </c>
      <c r="E169" s="11">
        <v>3100021567</v>
      </c>
      <c r="F169" s="35" t="s">
        <v>484</v>
      </c>
      <c r="G169" s="36" t="s">
        <v>481</v>
      </c>
      <c r="H169" s="12">
        <v>45205</v>
      </c>
      <c r="I169" s="12"/>
      <c r="J169" s="10"/>
      <c r="K169" s="13" t="s">
        <v>687</v>
      </c>
    </row>
    <row r="170" spans="1:11" hidden="1" x14ac:dyDescent="0.2">
      <c r="A170" s="10">
        <v>2000025770</v>
      </c>
      <c r="B170" s="10" t="s">
        <v>882</v>
      </c>
      <c r="C170" s="10" t="s">
        <v>557</v>
      </c>
      <c r="D170" s="34">
        <v>38</v>
      </c>
      <c r="E170" s="11">
        <v>3100021567</v>
      </c>
      <c r="F170" s="35" t="s">
        <v>484</v>
      </c>
      <c r="G170" s="36" t="s">
        <v>481</v>
      </c>
      <c r="H170" s="12">
        <v>45205</v>
      </c>
      <c r="I170" s="12"/>
      <c r="J170" s="10"/>
      <c r="K170" s="13" t="s">
        <v>693</v>
      </c>
    </row>
    <row r="171" spans="1:11" x14ac:dyDescent="0.2">
      <c r="A171" s="10">
        <v>2000025771</v>
      </c>
      <c r="B171" s="10" t="s">
        <v>883</v>
      </c>
      <c r="C171" s="10" t="s">
        <v>556</v>
      </c>
      <c r="D171" s="34">
        <v>19</v>
      </c>
      <c r="E171" s="11">
        <v>3100021567</v>
      </c>
      <c r="F171" s="35" t="s">
        <v>484</v>
      </c>
      <c r="G171" s="36" t="s">
        <v>481</v>
      </c>
      <c r="H171" s="12">
        <v>45205</v>
      </c>
      <c r="I171" s="12"/>
      <c r="J171" s="10"/>
      <c r="K171" s="13" t="s">
        <v>687</v>
      </c>
    </row>
    <row r="172" spans="1:11" hidden="1" x14ac:dyDescent="0.2">
      <c r="A172" s="10">
        <v>2000025782</v>
      </c>
      <c r="B172" s="10" t="s">
        <v>884</v>
      </c>
      <c r="C172" s="10" t="s">
        <v>885</v>
      </c>
      <c r="D172" s="34">
        <v>5</v>
      </c>
      <c r="E172" s="11">
        <v>3100021501</v>
      </c>
      <c r="F172" s="35" t="s">
        <v>515</v>
      </c>
      <c r="G172" s="36" t="s">
        <v>481</v>
      </c>
      <c r="H172" s="12">
        <v>45205</v>
      </c>
      <c r="I172" s="12"/>
      <c r="J172" s="10"/>
      <c r="K172" s="13" t="s">
        <v>693</v>
      </c>
    </row>
    <row r="173" spans="1:11" hidden="1" x14ac:dyDescent="0.2">
      <c r="A173" s="10">
        <v>2000025783</v>
      </c>
      <c r="B173" s="10" t="s">
        <v>886</v>
      </c>
      <c r="C173" s="10" t="s">
        <v>887</v>
      </c>
      <c r="D173" s="34">
        <v>5</v>
      </c>
      <c r="E173" s="11">
        <v>3100021501</v>
      </c>
      <c r="F173" s="35" t="s">
        <v>515</v>
      </c>
      <c r="G173" s="36" t="s">
        <v>481</v>
      </c>
      <c r="H173" s="12">
        <v>45205</v>
      </c>
      <c r="I173" s="12"/>
      <c r="J173" s="10"/>
      <c r="K173" s="13" t="s">
        <v>693</v>
      </c>
    </row>
    <row r="174" spans="1:11" hidden="1" x14ac:dyDescent="0.2">
      <c r="A174" s="10">
        <v>2000025793</v>
      </c>
      <c r="B174" s="10" t="s">
        <v>888</v>
      </c>
      <c r="C174" s="10" t="s">
        <v>562</v>
      </c>
      <c r="D174" s="34">
        <v>13</v>
      </c>
      <c r="E174" s="11">
        <v>3100021567</v>
      </c>
      <c r="F174" s="35" t="s">
        <v>484</v>
      </c>
      <c r="G174" s="36" t="s">
        <v>481</v>
      </c>
      <c r="H174" s="12">
        <v>45205</v>
      </c>
      <c r="I174" s="12"/>
      <c r="J174" s="10"/>
      <c r="K174" s="13" t="s">
        <v>693</v>
      </c>
    </row>
    <row r="175" spans="1:11" hidden="1" x14ac:dyDescent="0.2">
      <c r="A175" s="10">
        <v>2000025794</v>
      </c>
      <c r="B175" s="10" t="s">
        <v>889</v>
      </c>
      <c r="C175" s="10" t="s">
        <v>890</v>
      </c>
      <c r="D175" s="34">
        <v>5</v>
      </c>
      <c r="E175" s="11">
        <v>3100021567</v>
      </c>
      <c r="F175" s="35" t="s">
        <v>484</v>
      </c>
      <c r="G175" s="36" t="s">
        <v>481</v>
      </c>
      <c r="H175" s="12">
        <v>45205</v>
      </c>
      <c r="I175" s="12"/>
      <c r="J175" s="10"/>
      <c r="K175" s="13" t="s">
        <v>693</v>
      </c>
    </row>
    <row r="176" spans="1:11" x14ac:dyDescent="0.2">
      <c r="A176" s="10">
        <v>2000025795</v>
      </c>
      <c r="B176" s="10" t="s">
        <v>891</v>
      </c>
      <c r="C176" s="10" t="s">
        <v>892</v>
      </c>
      <c r="D176" s="34">
        <v>11</v>
      </c>
      <c r="E176" s="11">
        <v>3100021567</v>
      </c>
      <c r="F176" s="35" t="s">
        <v>484</v>
      </c>
      <c r="G176" s="36" t="s">
        <v>481</v>
      </c>
      <c r="H176" s="12">
        <v>45205</v>
      </c>
      <c r="I176" s="12"/>
      <c r="J176" s="10"/>
      <c r="K176" s="13" t="s">
        <v>687</v>
      </c>
    </row>
    <row r="177" spans="1:11" hidden="1" x14ac:dyDescent="0.2">
      <c r="A177" s="10">
        <v>2000025887</v>
      </c>
      <c r="B177" s="10" t="s">
        <v>893</v>
      </c>
      <c r="C177" s="10" t="s">
        <v>894</v>
      </c>
      <c r="D177" s="34">
        <v>9</v>
      </c>
      <c r="E177" s="11">
        <v>3100021501</v>
      </c>
      <c r="F177" s="35" t="s">
        <v>515</v>
      </c>
      <c r="G177" s="36" t="s">
        <v>481</v>
      </c>
      <c r="H177" s="12">
        <v>45205</v>
      </c>
      <c r="I177" s="12"/>
      <c r="J177" s="10"/>
      <c r="K177" s="13" t="s">
        <v>693</v>
      </c>
    </row>
    <row r="178" spans="1:11" hidden="1" x14ac:dyDescent="0.2">
      <c r="A178" s="10">
        <v>2000025888</v>
      </c>
      <c r="B178" s="10" t="s">
        <v>895</v>
      </c>
      <c r="C178" s="10" t="s">
        <v>896</v>
      </c>
      <c r="D178" s="34">
        <v>9</v>
      </c>
      <c r="E178" s="11">
        <v>3100021501</v>
      </c>
      <c r="F178" s="35" t="s">
        <v>515</v>
      </c>
      <c r="G178" s="36" t="s">
        <v>481</v>
      </c>
      <c r="H178" s="12">
        <v>45205</v>
      </c>
      <c r="I178" s="12"/>
      <c r="J178" s="10"/>
      <c r="K178" s="13" t="s">
        <v>693</v>
      </c>
    </row>
    <row r="179" spans="1:11" hidden="1" x14ac:dyDescent="0.2">
      <c r="A179" s="10">
        <v>2000025898</v>
      </c>
      <c r="B179" s="10" t="s">
        <v>845</v>
      </c>
      <c r="C179" s="10" t="s">
        <v>846</v>
      </c>
      <c r="D179" s="34">
        <v>2</v>
      </c>
      <c r="E179" s="11">
        <v>3100021450</v>
      </c>
      <c r="F179" s="35" t="s">
        <v>484</v>
      </c>
      <c r="G179" s="36" t="s">
        <v>481</v>
      </c>
      <c r="H179" s="12">
        <v>45205</v>
      </c>
      <c r="I179" s="12"/>
      <c r="J179" s="10"/>
      <c r="K179" s="38" t="s">
        <v>693</v>
      </c>
    </row>
    <row r="180" spans="1:11" hidden="1" x14ac:dyDescent="0.2">
      <c r="A180" s="10">
        <v>2000025941</v>
      </c>
      <c r="B180" s="10" t="s">
        <v>852</v>
      </c>
      <c r="C180" s="10" t="s">
        <v>853</v>
      </c>
      <c r="D180" s="34">
        <v>13</v>
      </c>
      <c r="E180" s="11">
        <v>3100021501</v>
      </c>
      <c r="F180" s="35" t="s">
        <v>515</v>
      </c>
      <c r="G180" s="36" t="s">
        <v>481</v>
      </c>
      <c r="H180" s="12">
        <v>45205</v>
      </c>
      <c r="I180" s="12"/>
      <c r="J180" s="10"/>
      <c r="K180" s="14" t="s">
        <v>693</v>
      </c>
    </row>
    <row r="181" spans="1:11" hidden="1" x14ac:dyDescent="0.2">
      <c r="A181" s="10">
        <v>2000025942</v>
      </c>
      <c r="B181" s="10" t="s">
        <v>864</v>
      </c>
      <c r="C181" s="10" t="s">
        <v>865</v>
      </c>
      <c r="D181" s="34">
        <v>12</v>
      </c>
      <c r="E181" s="11">
        <v>3100021501</v>
      </c>
      <c r="F181" s="35" t="s">
        <v>515</v>
      </c>
      <c r="G181" s="36" t="s">
        <v>481</v>
      </c>
      <c r="H181" s="12">
        <v>45205</v>
      </c>
      <c r="I181" s="12"/>
      <c r="J181" s="10"/>
      <c r="K181" s="13" t="s">
        <v>693</v>
      </c>
    </row>
    <row r="182" spans="1:11" hidden="1" x14ac:dyDescent="0.2">
      <c r="A182" s="10">
        <v>2000025943</v>
      </c>
      <c r="B182" s="10" t="s">
        <v>870</v>
      </c>
      <c r="C182" s="10" t="s">
        <v>871</v>
      </c>
      <c r="D182" s="34">
        <v>8</v>
      </c>
      <c r="E182" s="11">
        <v>3100021501</v>
      </c>
      <c r="F182" s="35" t="s">
        <v>515</v>
      </c>
      <c r="G182" s="36" t="s">
        <v>481</v>
      </c>
      <c r="H182" s="12">
        <v>45205</v>
      </c>
      <c r="I182" s="12"/>
      <c r="J182" s="10"/>
      <c r="K182" s="13" t="s">
        <v>693</v>
      </c>
    </row>
    <row r="183" spans="1:11" hidden="1" x14ac:dyDescent="0.2">
      <c r="A183" s="10">
        <v>2000025945</v>
      </c>
      <c r="B183" s="10" t="s">
        <v>845</v>
      </c>
      <c r="C183" s="10" t="s">
        <v>846</v>
      </c>
      <c r="D183" s="34">
        <v>4</v>
      </c>
      <c r="E183" s="11">
        <v>3100021450</v>
      </c>
      <c r="F183" s="35" t="s">
        <v>484</v>
      </c>
      <c r="G183" s="36" t="s">
        <v>481</v>
      </c>
      <c r="H183" s="12">
        <v>45205</v>
      </c>
      <c r="I183" s="12"/>
      <c r="J183" s="10"/>
      <c r="K183" s="38" t="s">
        <v>693</v>
      </c>
    </row>
    <row r="184" spans="1:11" hidden="1" x14ac:dyDescent="0.2">
      <c r="A184" s="10">
        <v>2000025957</v>
      </c>
      <c r="B184" s="10" t="s">
        <v>843</v>
      </c>
      <c r="C184" s="10" t="s">
        <v>597</v>
      </c>
      <c r="D184" s="34">
        <v>6</v>
      </c>
      <c r="E184" s="11">
        <v>3100021567</v>
      </c>
      <c r="F184" s="35" t="s">
        <v>484</v>
      </c>
      <c r="G184" s="36" t="s">
        <v>481</v>
      </c>
      <c r="H184" s="12">
        <v>45205</v>
      </c>
      <c r="I184" s="12"/>
      <c r="J184" s="10"/>
      <c r="K184" s="38" t="s">
        <v>693</v>
      </c>
    </row>
    <row r="185" spans="1:11" hidden="1" x14ac:dyDescent="0.2">
      <c r="A185" s="10">
        <v>2000025958</v>
      </c>
      <c r="B185" s="10" t="s">
        <v>847</v>
      </c>
      <c r="C185" s="10" t="s">
        <v>596</v>
      </c>
      <c r="D185" s="34">
        <v>4</v>
      </c>
      <c r="E185" s="11">
        <v>3100021501</v>
      </c>
      <c r="F185" s="35" t="s">
        <v>515</v>
      </c>
      <c r="G185" s="36" t="s">
        <v>481</v>
      </c>
      <c r="H185" s="12">
        <v>45205</v>
      </c>
      <c r="I185" s="12"/>
      <c r="J185" s="10"/>
      <c r="K185" s="38" t="s">
        <v>693</v>
      </c>
    </row>
    <row r="186" spans="1:11" hidden="1" x14ac:dyDescent="0.2">
      <c r="A186" s="10">
        <v>2000025959</v>
      </c>
      <c r="B186" s="10" t="s">
        <v>847</v>
      </c>
      <c r="C186" s="10" t="s">
        <v>596</v>
      </c>
      <c r="D186" s="34">
        <v>4</v>
      </c>
      <c r="E186" s="11">
        <v>3100021501</v>
      </c>
      <c r="F186" s="35" t="s">
        <v>515</v>
      </c>
      <c r="G186" s="36" t="s">
        <v>481</v>
      </c>
      <c r="H186" s="12">
        <v>45205</v>
      </c>
      <c r="I186" s="12"/>
      <c r="J186" s="10"/>
      <c r="K186" s="38" t="s">
        <v>693</v>
      </c>
    </row>
    <row r="187" spans="1:11" hidden="1" x14ac:dyDescent="0.2">
      <c r="A187" s="10">
        <v>2000025960</v>
      </c>
      <c r="B187" s="10" t="s">
        <v>844</v>
      </c>
      <c r="C187" s="10" t="s">
        <v>593</v>
      </c>
      <c r="D187" s="34">
        <v>3</v>
      </c>
      <c r="E187" s="11">
        <v>3100021567</v>
      </c>
      <c r="F187" s="35" t="s">
        <v>484</v>
      </c>
      <c r="G187" s="36" t="s">
        <v>481</v>
      </c>
      <c r="H187" s="12">
        <v>45205</v>
      </c>
      <c r="I187" s="12"/>
      <c r="J187" s="10"/>
      <c r="K187" s="38" t="s">
        <v>693</v>
      </c>
    </row>
    <row r="188" spans="1:11" hidden="1" x14ac:dyDescent="0.2">
      <c r="A188" s="10">
        <v>2000025962</v>
      </c>
      <c r="B188" s="10" t="s">
        <v>897</v>
      </c>
      <c r="C188" s="10" t="s">
        <v>898</v>
      </c>
      <c r="D188" s="34">
        <v>5</v>
      </c>
      <c r="E188" s="11">
        <v>3100021567</v>
      </c>
      <c r="F188" s="35" t="s">
        <v>484</v>
      </c>
      <c r="G188" s="36" t="s">
        <v>481</v>
      </c>
      <c r="H188" s="12">
        <v>45205</v>
      </c>
      <c r="I188" s="12"/>
      <c r="J188" s="10"/>
      <c r="K188" s="13" t="s">
        <v>693</v>
      </c>
    </row>
    <row r="189" spans="1:11" x14ac:dyDescent="0.2">
      <c r="A189" s="10">
        <v>2000025964</v>
      </c>
      <c r="B189" s="10" t="s">
        <v>899</v>
      </c>
      <c r="C189" s="10" t="s">
        <v>900</v>
      </c>
      <c r="D189" s="34">
        <v>15</v>
      </c>
      <c r="E189" s="11">
        <v>3100021450</v>
      </c>
      <c r="F189" s="35" t="s">
        <v>484</v>
      </c>
      <c r="G189" s="36" t="s">
        <v>481</v>
      </c>
      <c r="H189" s="12">
        <v>45205</v>
      </c>
      <c r="I189" s="12"/>
      <c r="J189" s="10"/>
      <c r="K189" s="13" t="s">
        <v>687</v>
      </c>
    </row>
    <row r="190" spans="1:11" x14ac:dyDescent="0.2">
      <c r="A190" s="10">
        <v>2000025966</v>
      </c>
      <c r="B190" s="10" t="s">
        <v>876</v>
      </c>
      <c r="C190" s="10" t="s">
        <v>877</v>
      </c>
      <c r="D190" s="34">
        <v>5</v>
      </c>
      <c r="E190" s="11">
        <v>3100021567</v>
      </c>
      <c r="F190" s="35" t="s">
        <v>484</v>
      </c>
      <c r="G190" s="36" t="s">
        <v>481</v>
      </c>
      <c r="H190" s="12">
        <v>45205</v>
      </c>
      <c r="I190" s="12"/>
      <c r="J190" s="10"/>
      <c r="K190" s="13" t="s">
        <v>687</v>
      </c>
    </row>
    <row r="191" spans="1:11" hidden="1" x14ac:dyDescent="0.2">
      <c r="A191" s="10">
        <v>2000025968</v>
      </c>
      <c r="B191" s="10" t="s">
        <v>879</v>
      </c>
      <c r="C191" s="10" t="s">
        <v>563</v>
      </c>
      <c r="D191" s="34">
        <v>5</v>
      </c>
      <c r="E191" s="11">
        <v>3100021567</v>
      </c>
      <c r="F191" s="35" t="s">
        <v>484</v>
      </c>
      <c r="G191" s="36" t="s">
        <v>481</v>
      </c>
      <c r="H191" s="12">
        <v>45205</v>
      </c>
      <c r="I191" s="12"/>
      <c r="J191" s="10"/>
      <c r="K191" s="13" t="s">
        <v>693</v>
      </c>
    </row>
    <row r="192" spans="1:11" hidden="1" x14ac:dyDescent="0.2">
      <c r="A192" s="10">
        <v>2000025969</v>
      </c>
      <c r="B192" s="10" t="s">
        <v>882</v>
      </c>
      <c r="C192" s="10" t="s">
        <v>557</v>
      </c>
      <c r="D192" s="34">
        <v>3</v>
      </c>
      <c r="E192" s="11">
        <v>3100021567</v>
      </c>
      <c r="F192" s="35" t="s">
        <v>484</v>
      </c>
      <c r="G192" s="36" t="s">
        <v>481</v>
      </c>
      <c r="H192" s="12">
        <v>45205</v>
      </c>
      <c r="I192" s="12"/>
      <c r="J192" s="10"/>
      <c r="K192" s="13" t="s">
        <v>693</v>
      </c>
    </row>
    <row r="193" spans="1:11" x14ac:dyDescent="0.2">
      <c r="A193" s="10">
        <v>2000025970</v>
      </c>
      <c r="B193" s="10" t="s">
        <v>883</v>
      </c>
      <c r="C193" s="10" t="s">
        <v>556</v>
      </c>
      <c r="D193" s="34">
        <v>5</v>
      </c>
      <c r="E193" s="11">
        <v>3100021567</v>
      </c>
      <c r="F193" s="35" t="s">
        <v>484</v>
      </c>
      <c r="G193" s="36" t="s">
        <v>481</v>
      </c>
      <c r="H193" s="12">
        <v>45205</v>
      </c>
      <c r="I193" s="12"/>
      <c r="J193" s="10"/>
      <c r="K193" s="13" t="s">
        <v>687</v>
      </c>
    </row>
    <row r="194" spans="1:11" x14ac:dyDescent="0.2">
      <c r="A194" s="10">
        <v>2000025977</v>
      </c>
      <c r="B194" s="10" t="s">
        <v>872</v>
      </c>
      <c r="C194" s="10" t="s">
        <v>873</v>
      </c>
      <c r="D194" s="34">
        <v>26</v>
      </c>
      <c r="E194" s="11">
        <v>3100021567</v>
      </c>
      <c r="F194" s="35" t="s">
        <v>484</v>
      </c>
      <c r="G194" s="36" t="s">
        <v>481</v>
      </c>
      <c r="H194" s="12">
        <v>45205</v>
      </c>
      <c r="I194" s="12"/>
      <c r="J194" s="10"/>
      <c r="K194" s="13" t="s">
        <v>687</v>
      </c>
    </row>
    <row r="195" spans="1:11" hidden="1" x14ac:dyDescent="0.2">
      <c r="A195" s="10">
        <v>2000025993</v>
      </c>
      <c r="B195" s="10" t="s">
        <v>901</v>
      </c>
      <c r="C195" s="10" t="s">
        <v>902</v>
      </c>
      <c r="D195" s="34">
        <v>9</v>
      </c>
      <c r="E195" s="11">
        <v>3100021567</v>
      </c>
      <c r="F195" s="35" t="s">
        <v>484</v>
      </c>
      <c r="G195" s="36" t="s">
        <v>481</v>
      </c>
      <c r="H195" s="12">
        <v>45205</v>
      </c>
      <c r="I195" s="12"/>
      <c r="J195" s="10"/>
      <c r="K195" s="38" t="s">
        <v>693</v>
      </c>
    </row>
    <row r="196" spans="1:11" hidden="1" x14ac:dyDescent="0.2">
      <c r="A196" s="10">
        <v>2000025995</v>
      </c>
      <c r="B196" s="10" t="s">
        <v>903</v>
      </c>
      <c r="C196" s="10" t="s">
        <v>904</v>
      </c>
      <c r="D196" s="34">
        <v>3</v>
      </c>
      <c r="E196" s="11">
        <v>3100021567</v>
      </c>
      <c r="F196" s="35" t="s">
        <v>484</v>
      </c>
      <c r="G196" s="36" t="s">
        <v>481</v>
      </c>
      <c r="H196" s="12">
        <v>45205</v>
      </c>
      <c r="I196" s="12"/>
      <c r="J196" s="10"/>
      <c r="K196" s="38" t="s">
        <v>693</v>
      </c>
    </row>
    <row r="197" spans="1:11" hidden="1" x14ac:dyDescent="0.2">
      <c r="A197" s="10">
        <v>2000025996</v>
      </c>
      <c r="B197" s="10" t="s">
        <v>905</v>
      </c>
      <c r="C197" s="10" t="s">
        <v>906</v>
      </c>
      <c r="D197" s="34">
        <v>3</v>
      </c>
      <c r="E197" s="11">
        <v>3100021567</v>
      </c>
      <c r="F197" s="35" t="s">
        <v>484</v>
      </c>
      <c r="G197" s="36" t="s">
        <v>481</v>
      </c>
      <c r="H197" s="12">
        <v>45205</v>
      </c>
      <c r="I197" s="12"/>
      <c r="J197" s="10"/>
      <c r="K197" s="38" t="s">
        <v>693</v>
      </c>
    </row>
    <row r="198" spans="1:11" hidden="1" x14ac:dyDescent="0.2">
      <c r="A198" s="10">
        <v>2000026034</v>
      </c>
      <c r="B198" s="10" t="s">
        <v>688</v>
      </c>
      <c r="C198" s="10" t="s">
        <v>689</v>
      </c>
      <c r="D198" s="34">
        <v>258</v>
      </c>
      <c r="E198" s="11">
        <v>3100021610</v>
      </c>
      <c r="F198" s="11" t="s">
        <v>546</v>
      </c>
      <c r="G198" s="11" t="s">
        <v>670</v>
      </c>
      <c r="H198" s="12">
        <v>45208</v>
      </c>
      <c r="I198" s="12"/>
      <c r="J198" s="10"/>
      <c r="K198" s="38" t="s">
        <v>472</v>
      </c>
    </row>
    <row r="199" spans="1:11" hidden="1" x14ac:dyDescent="0.2">
      <c r="A199" s="10">
        <v>2000025835</v>
      </c>
      <c r="B199" s="10" t="s">
        <v>907</v>
      </c>
      <c r="C199" s="10" t="s">
        <v>908</v>
      </c>
      <c r="D199" s="34">
        <v>5008</v>
      </c>
      <c r="E199" s="11">
        <v>3100021446</v>
      </c>
      <c r="F199" s="35" t="s">
        <v>472</v>
      </c>
      <c r="G199" s="36" t="s">
        <v>624</v>
      </c>
      <c r="H199" s="12">
        <v>45209</v>
      </c>
      <c r="I199" s="12"/>
      <c r="J199" s="10"/>
      <c r="K199" s="38" t="s">
        <v>693</v>
      </c>
    </row>
    <row r="200" spans="1:11" hidden="1" x14ac:dyDescent="0.2">
      <c r="A200" s="10">
        <v>2000025836</v>
      </c>
      <c r="B200" s="10" t="s">
        <v>909</v>
      </c>
      <c r="C200" s="10" t="s">
        <v>910</v>
      </c>
      <c r="D200" s="34">
        <v>4719</v>
      </c>
      <c r="E200" s="11">
        <v>3100021446</v>
      </c>
      <c r="F200" s="35" t="s">
        <v>472</v>
      </c>
      <c r="G200" s="36" t="s">
        <v>624</v>
      </c>
      <c r="H200" s="12">
        <v>45209</v>
      </c>
      <c r="I200" s="12"/>
      <c r="J200" s="10"/>
      <c r="K200" s="38" t="s">
        <v>693</v>
      </c>
    </row>
    <row r="201" spans="1:11" hidden="1" x14ac:dyDescent="0.2">
      <c r="A201" s="10">
        <v>2000025837</v>
      </c>
      <c r="B201" s="10" t="s">
        <v>911</v>
      </c>
      <c r="C201" s="10" t="s">
        <v>912</v>
      </c>
      <c r="D201" s="34">
        <v>255</v>
      </c>
      <c r="E201" s="11">
        <v>3100021446</v>
      </c>
      <c r="F201" s="35" t="s">
        <v>472</v>
      </c>
      <c r="G201" s="36" t="s">
        <v>624</v>
      </c>
      <c r="H201" s="12">
        <v>45209</v>
      </c>
      <c r="I201" s="12"/>
      <c r="J201" s="10"/>
      <c r="K201" s="38" t="s">
        <v>693</v>
      </c>
    </row>
    <row r="202" spans="1:11" hidden="1" x14ac:dyDescent="0.2">
      <c r="A202" s="10">
        <v>2000025975</v>
      </c>
      <c r="B202" s="10" t="s">
        <v>913</v>
      </c>
      <c r="C202" s="10" t="s">
        <v>914</v>
      </c>
      <c r="D202" s="34">
        <v>6</v>
      </c>
      <c r="E202" s="11">
        <v>3100021553</v>
      </c>
      <c r="F202" s="35" t="s">
        <v>495</v>
      </c>
      <c r="G202" s="36" t="s">
        <v>496</v>
      </c>
      <c r="H202" s="12">
        <v>45209</v>
      </c>
      <c r="I202" s="12"/>
      <c r="J202" s="10"/>
      <c r="K202" s="38" t="s">
        <v>472</v>
      </c>
    </row>
    <row r="203" spans="1:11" hidden="1" x14ac:dyDescent="0.2">
      <c r="A203" s="10">
        <v>2000025803</v>
      </c>
      <c r="B203" s="10" t="s">
        <v>763</v>
      </c>
      <c r="C203" s="10" t="s">
        <v>764</v>
      </c>
      <c r="D203" s="34">
        <v>48</v>
      </c>
      <c r="E203" s="11">
        <v>3100021407</v>
      </c>
      <c r="F203" s="11" t="s">
        <v>489</v>
      </c>
      <c r="G203" s="11" t="s">
        <v>490</v>
      </c>
      <c r="H203" s="12">
        <v>45212</v>
      </c>
      <c r="I203" s="12"/>
      <c r="J203" s="10"/>
      <c r="K203" s="38" t="s">
        <v>693</v>
      </c>
    </row>
    <row r="204" spans="1:11" x14ac:dyDescent="0.2">
      <c r="A204" s="10">
        <v>2000025376</v>
      </c>
      <c r="B204" s="10" t="s">
        <v>915</v>
      </c>
      <c r="C204" s="10" t="s">
        <v>916</v>
      </c>
      <c r="D204" s="34">
        <v>21</v>
      </c>
      <c r="E204" s="11">
        <v>3100021506</v>
      </c>
      <c r="F204" s="35" t="s">
        <v>475</v>
      </c>
      <c r="G204" s="36" t="s">
        <v>476</v>
      </c>
      <c r="H204" s="12">
        <v>45212</v>
      </c>
      <c r="I204" s="12"/>
      <c r="J204" s="10"/>
      <c r="K204" s="13" t="s">
        <v>687</v>
      </c>
    </row>
    <row r="205" spans="1:11" hidden="1" x14ac:dyDescent="0.2">
      <c r="A205" s="10">
        <v>2000025802</v>
      </c>
      <c r="B205" s="10" t="s">
        <v>917</v>
      </c>
      <c r="C205" s="10" t="s">
        <v>918</v>
      </c>
      <c r="D205" s="34">
        <v>16</v>
      </c>
      <c r="E205" s="11">
        <v>3100021407</v>
      </c>
      <c r="F205" s="35" t="s">
        <v>489</v>
      </c>
      <c r="G205" s="36" t="s">
        <v>490</v>
      </c>
      <c r="H205" s="12">
        <v>45212</v>
      </c>
      <c r="I205" s="12"/>
      <c r="J205" s="10"/>
      <c r="K205" s="38" t="s">
        <v>693</v>
      </c>
    </row>
    <row r="206" spans="1:11" hidden="1" x14ac:dyDescent="0.2">
      <c r="A206" s="10">
        <v>2000025914</v>
      </c>
      <c r="B206" s="10" t="s">
        <v>919</v>
      </c>
      <c r="C206" s="10" t="s">
        <v>920</v>
      </c>
      <c r="D206" s="34">
        <v>10</v>
      </c>
      <c r="E206" s="11">
        <v>3100021407</v>
      </c>
      <c r="F206" s="35" t="s">
        <v>489</v>
      </c>
      <c r="G206" s="36" t="s">
        <v>490</v>
      </c>
      <c r="H206" s="12">
        <v>45212</v>
      </c>
      <c r="I206" s="12"/>
      <c r="J206" s="10"/>
      <c r="K206" s="38" t="s">
        <v>472</v>
      </c>
    </row>
    <row r="207" spans="1:11" x14ac:dyDescent="0.2">
      <c r="A207" s="10">
        <v>2000025927</v>
      </c>
      <c r="B207" s="10" t="s">
        <v>921</v>
      </c>
      <c r="C207" s="10" t="s">
        <v>922</v>
      </c>
      <c r="D207" s="34">
        <v>18</v>
      </c>
      <c r="E207" s="11">
        <v>3100021506</v>
      </c>
      <c r="F207" s="35" t="s">
        <v>475</v>
      </c>
      <c r="G207" s="36" t="s">
        <v>476</v>
      </c>
      <c r="H207" s="12">
        <v>45212</v>
      </c>
      <c r="I207" s="12"/>
      <c r="J207" s="10"/>
      <c r="K207" s="13" t="s">
        <v>687</v>
      </c>
    </row>
    <row r="208" spans="1:11" x14ac:dyDescent="0.2">
      <c r="A208" s="10">
        <v>2000025983</v>
      </c>
      <c r="B208" s="10" t="s">
        <v>921</v>
      </c>
      <c r="C208" s="10" t="s">
        <v>922</v>
      </c>
      <c r="D208" s="34">
        <v>28</v>
      </c>
      <c r="E208" s="11">
        <v>3100021506</v>
      </c>
      <c r="F208" s="35" t="s">
        <v>475</v>
      </c>
      <c r="G208" s="36" t="s">
        <v>476</v>
      </c>
      <c r="H208" s="12">
        <v>45212</v>
      </c>
      <c r="I208" s="12"/>
      <c r="J208" s="10"/>
      <c r="K208" s="13" t="s">
        <v>687</v>
      </c>
    </row>
    <row r="209" spans="1:11" x14ac:dyDescent="0.2">
      <c r="A209" s="10">
        <v>2000024111</v>
      </c>
      <c r="B209" s="10" t="s">
        <v>457</v>
      </c>
      <c r="C209" s="10" t="s">
        <v>458</v>
      </c>
      <c r="D209" s="34">
        <v>1000</v>
      </c>
      <c r="E209" s="11">
        <v>3100021015</v>
      </c>
      <c r="F209" s="35" t="s">
        <v>573</v>
      </c>
      <c r="G209" s="36" t="s">
        <v>504</v>
      </c>
      <c r="H209" s="12">
        <v>45215</v>
      </c>
      <c r="I209" s="12"/>
      <c r="J209" s="10"/>
      <c r="K209" s="13" t="s">
        <v>687</v>
      </c>
    </row>
    <row r="210" spans="1:11" x14ac:dyDescent="0.2">
      <c r="A210" s="10">
        <v>2000025522</v>
      </c>
      <c r="B210" s="10" t="s">
        <v>457</v>
      </c>
      <c r="C210" s="10" t="s">
        <v>458</v>
      </c>
      <c r="D210" s="34">
        <v>800</v>
      </c>
      <c r="E210" s="11">
        <v>3100021015</v>
      </c>
      <c r="F210" s="35" t="s">
        <v>573</v>
      </c>
      <c r="G210" s="36" t="s">
        <v>504</v>
      </c>
      <c r="H210" s="12">
        <v>45215</v>
      </c>
      <c r="I210" s="12"/>
      <c r="J210" s="10"/>
      <c r="K210" s="13" t="s">
        <v>687</v>
      </c>
    </row>
    <row r="211" spans="1:11" x14ac:dyDescent="0.2">
      <c r="A211" s="10">
        <v>2000025527</v>
      </c>
      <c r="B211" s="10" t="s">
        <v>923</v>
      </c>
      <c r="C211" s="10" t="s">
        <v>578</v>
      </c>
      <c r="D211" s="34">
        <v>150</v>
      </c>
      <c r="E211" s="11">
        <v>3100021015</v>
      </c>
      <c r="F211" s="35" t="s">
        <v>573</v>
      </c>
      <c r="G211" s="36" t="s">
        <v>504</v>
      </c>
      <c r="H211" s="12">
        <v>45215</v>
      </c>
      <c r="I211" s="12"/>
      <c r="J211" s="10"/>
      <c r="K211" s="13" t="s">
        <v>687</v>
      </c>
    </row>
    <row r="212" spans="1:11" x14ac:dyDescent="0.2">
      <c r="A212" s="10">
        <v>2000025834</v>
      </c>
      <c r="B212" s="10" t="s">
        <v>924</v>
      </c>
      <c r="C212" s="10" t="s">
        <v>577</v>
      </c>
      <c r="D212" s="34">
        <v>150</v>
      </c>
      <c r="E212" s="11">
        <v>3100021015</v>
      </c>
      <c r="F212" s="35" t="s">
        <v>573</v>
      </c>
      <c r="G212" s="36" t="s">
        <v>504</v>
      </c>
      <c r="H212" s="12">
        <v>45215</v>
      </c>
      <c r="I212" s="12"/>
      <c r="J212" s="10"/>
      <c r="K212" s="13" t="s">
        <v>687</v>
      </c>
    </row>
    <row r="213" spans="1:11" hidden="1" x14ac:dyDescent="0.2">
      <c r="A213" s="10">
        <v>2000025932</v>
      </c>
      <c r="B213" s="10" t="s">
        <v>925</v>
      </c>
      <c r="C213" s="10" t="s">
        <v>926</v>
      </c>
      <c r="D213" s="34">
        <v>33050</v>
      </c>
      <c r="E213" s="11">
        <v>3200001168</v>
      </c>
      <c r="F213" s="35" t="s">
        <v>472</v>
      </c>
      <c r="G213" s="36" t="s">
        <v>497</v>
      </c>
      <c r="H213" s="12">
        <v>45215</v>
      </c>
      <c r="I213" s="12"/>
      <c r="J213" s="10"/>
      <c r="K213" s="13" t="s">
        <v>693</v>
      </c>
    </row>
    <row r="214" spans="1:11" hidden="1" x14ac:dyDescent="0.2">
      <c r="A214" s="10">
        <v>2000026047</v>
      </c>
      <c r="B214" s="10" t="s">
        <v>927</v>
      </c>
      <c r="C214" s="10" t="s">
        <v>618</v>
      </c>
      <c r="D214" s="34">
        <v>338</v>
      </c>
      <c r="E214" s="11">
        <v>3100021637</v>
      </c>
      <c r="F214" s="35" t="s">
        <v>535</v>
      </c>
      <c r="G214" s="36" t="s">
        <v>619</v>
      </c>
      <c r="H214" s="12">
        <v>45215</v>
      </c>
      <c r="I214" s="12"/>
      <c r="J214" s="10"/>
      <c r="K214" s="38" t="s">
        <v>472</v>
      </c>
    </row>
    <row r="215" spans="1:11" hidden="1" x14ac:dyDescent="0.2">
      <c r="A215" s="10">
        <v>2000025387</v>
      </c>
      <c r="B215" s="10" t="s">
        <v>928</v>
      </c>
      <c r="C215" s="10" t="s">
        <v>603</v>
      </c>
      <c r="D215" s="34">
        <v>10168</v>
      </c>
      <c r="E215" s="11">
        <v>3100021101</v>
      </c>
      <c r="F215" s="35" t="s">
        <v>604</v>
      </c>
      <c r="G215" s="36" t="s">
        <v>522</v>
      </c>
      <c r="H215" s="12">
        <v>45219</v>
      </c>
      <c r="I215" s="12"/>
      <c r="J215" s="10"/>
      <c r="K215" s="38" t="s">
        <v>472</v>
      </c>
    </row>
    <row r="216" spans="1:11" hidden="1" x14ac:dyDescent="0.2">
      <c r="A216" s="10">
        <v>2000025407</v>
      </c>
      <c r="B216" s="10" t="s">
        <v>928</v>
      </c>
      <c r="C216" s="10" t="s">
        <v>603</v>
      </c>
      <c r="D216" s="34">
        <v>9676</v>
      </c>
      <c r="E216" s="11">
        <v>3100021101</v>
      </c>
      <c r="F216" s="35" t="s">
        <v>604</v>
      </c>
      <c r="G216" s="36" t="s">
        <v>522</v>
      </c>
      <c r="H216" s="12">
        <v>45219</v>
      </c>
      <c r="I216" s="12"/>
      <c r="J216" s="10"/>
      <c r="K216" s="38" t="s">
        <v>472</v>
      </c>
    </row>
    <row r="217" spans="1:11" hidden="1" x14ac:dyDescent="0.2">
      <c r="A217" s="10">
        <v>2000025408</v>
      </c>
      <c r="B217" s="10" t="s">
        <v>928</v>
      </c>
      <c r="C217" s="10" t="s">
        <v>603</v>
      </c>
      <c r="D217" s="34">
        <v>1148</v>
      </c>
      <c r="E217" s="11">
        <v>3100021101</v>
      </c>
      <c r="F217" s="35" t="s">
        <v>604</v>
      </c>
      <c r="G217" s="36" t="s">
        <v>522</v>
      </c>
      <c r="H217" s="12">
        <v>45219</v>
      </c>
      <c r="I217" s="12"/>
      <c r="J217" s="10"/>
      <c r="K217" s="38" t="s">
        <v>472</v>
      </c>
    </row>
    <row r="218" spans="1:11" hidden="1" x14ac:dyDescent="0.2">
      <c r="A218" s="10">
        <v>2000025409</v>
      </c>
      <c r="B218" s="10" t="s">
        <v>928</v>
      </c>
      <c r="C218" s="10" t="s">
        <v>603</v>
      </c>
      <c r="D218" s="34">
        <v>7216</v>
      </c>
      <c r="E218" s="11">
        <v>3100021101</v>
      </c>
      <c r="F218" s="35" t="s">
        <v>604</v>
      </c>
      <c r="G218" s="36" t="s">
        <v>522</v>
      </c>
      <c r="H218" s="12">
        <v>45219</v>
      </c>
      <c r="I218" s="12"/>
      <c r="J218" s="10"/>
      <c r="K218" s="38" t="s">
        <v>472</v>
      </c>
    </row>
    <row r="219" spans="1:11" hidden="1" x14ac:dyDescent="0.2">
      <c r="A219" s="10">
        <v>2000025410</v>
      </c>
      <c r="B219" s="10" t="s">
        <v>928</v>
      </c>
      <c r="C219" s="10" t="s">
        <v>603</v>
      </c>
      <c r="D219" s="34">
        <v>1476</v>
      </c>
      <c r="E219" s="11">
        <v>3100021101</v>
      </c>
      <c r="F219" s="35" t="s">
        <v>604</v>
      </c>
      <c r="G219" s="36" t="s">
        <v>522</v>
      </c>
      <c r="H219" s="12">
        <v>45219</v>
      </c>
      <c r="I219" s="12"/>
      <c r="J219" s="10"/>
      <c r="K219" s="38" t="s">
        <v>472</v>
      </c>
    </row>
    <row r="220" spans="1:11" hidden="1" x14ac:dyDescent="0.2">
      <c r="A220" s="10">
        <v>2000025411</v>
      </c>
      <c r="B220" s="10" t="s">
        <v>928</v>
      </c>
      <c r="C220" s="10" t="s">
        <v>603</v>
      </c>
      <c r="D220" s="34">
        <v>900</v>
      </c>
      <c r="E220" s="11">
        <v>3100021101</v>
      </c>
      <c r="F220" s="35" t="s">
        <v>604</v>
      </c>
      <c r="G220" s="36" t="s">
        <v>522</v>
      </c>
      <c r="H220" s="12">
        <v>45219</v>
      </c>
      <c r="I220" s="12"/>
      <c r="J220" s="10"/>
      <c r="K220" s="38" t="s">
        <v>472</v>
      </c>
    </row>
    <row r="221" spans="1:11" hidden="1" x14ac:dyDescent="0.2">
      <c r="A221" s="10">
        <v>2000025412</v>
      </c>
      <c r="B221" s="10" t="s">
        <v>928</v>
      </c>
      <c r="C221" s="10" t="s">
        <v>603</v>
      </c>
      <c r="D221" s="34">
        <v>4680</v>
      </c>
      <c r="E221" s="11">
        <v>3100021101</v>
      </c>
      <c r="F221" s="35" t="s">
        <v>604</v>
      </c>
      <c r="G221" s="36" t="s">
        <v>522</v>
      </c>
      <c r="H221" s="12">
        <v>45219</v>
      </c>
      <c r="I221" s="12"/>
      <c r="J221" s="10"/>
      <c r="K221" s="38" t="s">
        <v>472</v>
      </c>
    </row>
    <row r="222" spans="1:11" hidden="1" x14ac:dyDescent="0.2">
      <c r="A222" s="10">
        <v>2000025413</v>
      </c>
      <c r="B222" s="10" t="s">
        <v>928</v>
      </c>
      <c r="C222" s="10" t="s">
        <v>603</v>
      </c>
      <c r="D222" s="34">
        <v>305</v>
      </c>
      <c r="E222" s="11">
        <v>3100021101</v>
      </c>
      <c r="F222" s="35" t="s">
        <v>604</v>
      </c>
      <c r="G222" s="36" t="s">
        <v>522</v>
      </c>
      <c r="H222" s="12">
        <v>45219</v>
      </c>
      <c r="I222" s="12"/>
      <c r="J222" s="10"/>
      <c r="K222" s="38" t="s">
        <v>472</v>
      </c>
    </row>
    <row r="223" spans="1:11" hidden="1" x14ac:dyDescent="0.2">
      <c r="A223" s="10">
        <v>2000025495</v>
      </c>
      <c r="B223" s="10" t="s">
        <v>760</v>
      </c>
      <c r="C223" s="10" t="s">
        <v>761</v>
      </c>
      <c r="D223" s="34">
        <v>10795</v>
      </c>
      <c r="E223" s="16">
        <v>3100021552</v>
      </c>
      <c r="F223" s="11" t="s">
        <v>477</v>
      </c>
      <c r="G223" s="11" t="s">
        <v>478</v>
      </c>
      <c r="H223" s="12">
        <v>45222</v>
      </c>
      <c r="I223" s="12"/>
      <c r="J223" s="10"/>
      <c r="K223" s="13" t="s">
        <v>693</v>
      </c>
    </row>
    <row r="224" spans="1:11" hidden="1" x14ac:dyDescent="0.2">
      <c r="A224" s="10">
        <v>2000025979</v>
      </c>
      <c r="B224" s="10" t="s">
        <v>929</v>
      </c>
      <c r="C224" s="10" t="s">
        <v>930</v>
      </c>
      <c r="D224" s="34">
        <v>9</v>
      </c>
      <c r="E224" s="11">
        <v>3100021623</v>
      </c>
      <c r="F224" s="35" t="s">
        <v>477</v>
      </c>
      <c r="G224" s="36" t="s">
        <v>478</v>
      </c>
      <c r="H224" s="12">
        <v>45224</v>
      </c>
      <c r="I224" s="12"/>
      <c r="J224" s="10"/>
      <c r="K224" s="13" t="s">
        <v>693</v>
      </c>
    </row>
    <row r="225" spans="1:11" hidden="1" x14ac:dyDescent="0.2">
      <c r="A225" s="10">
        <v>2000025809</v>
      </c>
      <c r="B225" s="10" t="s">
        <v>763</v>
      </c>
      <c r="C225" s="10" t="s">
        <v>764</v>
      </c>
      <c r="D225" s="34">
        <v>6</v>
      </c>
      <c r="E225" s="11">
        <v>3100021400</v>
      </c>
      <c r="F225" s="11" t="s">
        <v>637</v>
      </c>
      <c r="G225" s="11" t="s">
        <v>490</v>
      </c>
      <c r="H225" s="12">
        <v>45225</v>
      </c>
      <c r="I225" s="12"/>
      <c r="J225" s="10"/>
      <c r="K225" s="38" t="s">
        <v>693</v>
      </c>
    </row>
    <row r="226" spans="1:11" x14ac:dyDescent="0.2">
      <c r="A226" s="10">
        <v>2000025919</v>
      </c>
      <c r="B226" s="10" t="s">
        <v>931</v>
      </c>
      <c r="C226" s="10" t="s">
        <v>616</v>
      </c>
      <c r="D226" s="34">
        <v>2500</v>
      </c>
      <c r="E226" s="11">
        <v>3100021636</v>
      </c>
      <c r="F226" s="35" t="s">
        <v>535</v>
      </c>
      <c r="G226" s="36" t="s">
        <v>536</v>
      </c>
      <c r="H226" s="12">
        <v>45230</v>
      </c>
      <c r="I226" s="12"/>
      <c r="J226" s="10"/>
      <c r="K226" s="38" t="s">
        <v>687</v>
      </c>
    </row>
    <row r="227" spans="1:11" x14ac:dyDescent="0.2">
      <c r="A227" s="10">
        <v>2000026050</v>
      </c>
      <c r="B227" s="10" t="s">
        <v>931</v>
      </c>
      <c r="C227" s="10" t="s">
        <v>616</v>
      </c>
      <c r="D227" s="34">
        <v>2654</v>
      </c>
      <c r="E227" s="11">
        <v>3100021636</v>
      </c>
      <c r="F227" s="35" t="s">
        <v>535</v>
      </c>
      <c r="G227" s="36" t="s">
        <v>536</v>
      </c>
      <c r="H227" s="12">
        <v>45230</v>
      </c>
      <c r="I227" s="12"/>
      <c r="J227" s="10"/>
      <c r="K227" s="38" t="s">
        <v>687</v>
      </c>
    </row>
    <row r="228" spans="1:11" hidden="1" x14ac:dyDescent="0.2">
      <c r="A228" s="10">
        <v>2000025920</v>
      </c>
      <c r="B228" s="10" t="s">
        <v>932</v>
      </c>
      <c r="C228" s="10" t="s">
        <v>614</v>
      </c>
      <c r="D228" s="34">
        <v>12</v>
      </c>
      <c r="E228" s="11">
        <v>3100021295</v>
      </c>
      <c r="F228" s="35" t="s">
        <v>581</v>
      </c>
      <c r="G228" s="36" t="s">
        <v>615</v>
      </c>
      <c r="H228" s="12">
        <v>45250</v>
      </c>
      <c r="I228" s="12"/>
      <c r="J228" s="10"/>
      <c r="K228" s="43" t="s">
        <v>472</v>
      </c>
    </row>
    <row r="229" spans="1:11" hidden="1" x14ac:dyDescent="0.2">
      <c r="A229" s="10">
        <v>2000025921</v>
      </c>
      <c r="B229" s="10" t="s">
        <v>932</v>
      </c>
      <c r="C229" s="10" t="s">
        <v>614</v>
      </c>
      <c r="D229" s="34">
        <v>6</v>
      </c>
      <c r="E229" s="11">
        <v>3100021295</v>
      </c>
      <c r="F229" s="35" t="s">
        <v>581</v>
      </c>
      <c r="G229" s="36" t="s">
        <v>615</v>
      </c>
      <c r="H229" s="12">
        <v>45250</v>
      </c>
      <c r="I229" s="12"/>
      <c r="J229" s="10"/>
      <c r="K229" s="43" t="s">
        <v>472</v>
      </c>
    </row>
    <row r="230" spans="1:11" hidden="1" x14ac:dyDescent="0.2">
      <c r="A230" s="10">
        <v>2000025922</v>
      </c>
      <c r="B230" s="10" t="s">
        <v>932</v>
      </c>
      <c r="C230" s="10" t="s">
        <v>614</v>
      </c>
      <c r="D230" s="34">
        <v>18</v>
      </c>
      <c r="E230" s="11">
        <v>3100021295</v>
      </c>
      <c r="F230" s="35" t="s">
        <v>581</v>
      </c>
      <c r="G230" s="36" t="s">
        <v>615</v>
      </c>
      <c r="H230" s="12">
        <v>45250</v>
      </c>
      <c r="I230" s="12"/>
      <c r="J230" s="10"/>
      <c r="K230" s="43" t="s">
        <v>472</v>
      </c>
    </row>
    <row r="231" spans="1:11" hidden="1" x14ac:dyDescent="0.2">
      <c r="A231" s="10">
        <v>2000025946</v>
      </c>
      <c r="B231" s="10" t="s">
        <v>932</v>
      </c>
      <c r="C231" s="10" t="s">
        <v>614</v>
      </c>
      <c r="D231" s="34">
        <v>42</v>
      </c>
      <c r="E231" s="11">
        <v>3100021295</v>
      </c>
      <c r="F231" s="35" t="s">
        <v>581</v>
      </c>
      <c r="G231" s="36" t="s">
        <v>615</v>
      </c>
      <c r="H231" s="12">
        <v>45250</v>
      </c>
      <c r="I231" s="12"/>
      <c r="J231" s="10"/>
      <c r="K231" s="43" t="s">
        <v>472</v>
      </c>
    </row>
    <row r="232" spans="1:11" hidden="1" x14ac:dyDescent="0.2">
      <c r="A232" s="10">
        <v>2000025947</v>
      </c>
      <c r="B232" s="10" t="s">
        <v>932</v>
      </c>
      <c r="C232" s="10" t="s">
        <v>614</v>
      </c>
      <c r="D232" s="34">
        <v>24</v>
      </c>
      <c r="E232" s="11">
        <v>3100021295</v>
      </c>
      <c r="F232" s="35" t="s">
        <v>581</v>
      </c>
      <c r="G232" s="36" t="s">
        <v>615</v>
      </c>
      <c r="H232" s="12">
        <v>45250</v>
      </c>
      <c r="I232" s="12"/>
      <c r="J232" s="10"/>
      <c r="K232" s="43" t="s">
        <v>472</v>
      </c>
    </row>
    <row r="233" spans="1:11" hidden="1" x14ac:dyDescent="0.2">
      <c r="A233" s="10">
        <v>2000025980</v>
      </c>
      <c r="B233" s="10" t="s">
        <v>932</v>
      </c>
      <c r="C233" s="10" t="s">
        <v>614</v>
      </c>
      <c r="D233" s="34">
        <v>18</v>
      </c>
      <c r="E233" s="11">
        <v>3100021295</v>
      </c>
      <c r="F233" s="35" t="s">
        <v>581</v>
      </c>
      <c r="G233" s="36" t="s">
        <v>615</v>
      </c>
      <c r="H233" s="12">
        <v>45250</v>
      </c>
      <c r="I233" s="12"/>
      <c r="J233" s="10"/>
      <c r="K233" s="43" t="s">
        <v>472</v>
      </c>
    </row>
    <row r="234" spans="1:11" hidden="1" x14ac:dyDescent="0.2">
      <c r="A234" s="10">
        <v>2000025981</v>
      </c>
      <c r="B234" s="10" t="s">
        <v>932</v>
      </c>
      <c r="C234" s="10" t="s">
        <v>614</v>
      </c>
      <c r="D234" s="34">
        <v>36</v>
      </c>
      <c r="E234" s="11">
        <v>3100021295</v>
      </c>
      <c r="F234" s="35" t="s">
        <v>581</v>
      </c>
      <c r="G234" s="36" t="s">
        <v>615</v>
      </c>
      <c r="H234" s="12">
        <v>45250</v>
      </c>
      <c r="I234" s="12"/>
      <c r="J234" s="10"/>
      <c r="K234" s="43" t="s">
        <v>472</v>
      </c>
    </row>
    <row r="235" spans="1:11" hidden="1" x14ac:dyDescent="0.2">
      <c r="A235" s="10">
        <v>2000025647</v>
      </c>
      <c r="B235" s="10" t="s">
        <v>933</v>
      </c>
      <c r="C235" s="10" t="s">
        <v>934</v>
      </c>
      <c r="D235" s="34">
        <v>12</v>
      </c>
      <c r="E235" s="11">
        <v>3100021333</v>
      </c>
      <c r="F235" s="35" t="s">
        <v>509</v>
      </c>
      <c r="G235" s="36" t="s">
        <v>510</v>
      </c>
      <c r="H235" s="12">
        <v>45268</v>
      </c>
      <c r="I235" s="12"/>
      <c r="J235" s="10"/>
      <c r="K235" s="38" t="s">
        <v>693</v>
      </c>
    </row>
    <row r="236" spans="1:11" hidden="1" x14ac:dyDescent="0.2">
      <c r="A236" s="10">
        <v>2000025648</v>
      </c>
      <c r="B236" s="10" t="s">
        <v>935</v>
      </c>
      <c r="C236" s="10" t="s">
        <v>936</v>
      </c>
      <c r="D236" s="34">
        <v>40</v>
      </c>
      <c r="E236" s="11">
        <v>3100021333</v>
      </c>
      <c r="F236" s="35" t="s">
        <v>509</v>
      </c>
      <c r="G236" s="36" t="s">
        <v>510</v>
      </c>
      <c r="H236" s="12">
        <v>45268</v>
      </c>
      <c r="I236" s="12"/>
      <c r="J236" s="10"/>
      <c r="K236" s="38" t="s">
        <v>693</v>
      </c>
    </row>
    <row r="237" spans="1:11" hidden="1" x14ac:dyDescent="0.2">
      <c r="A237" s="10">
        <v>2000025649</v>
      </c>
      <c r="B237" s="10" t="s">
        <v>935</v>
      </c>
      <c r="C237" s="10" t="s">
        <v>936</v>
      </c>
      <c r="D237" s="34">
        <v>40</v>
      </c>
      <c r="E237" s="11">
        <v>3100021333</v>
      </c>
      <c r="F237" s="35" t="s">
        <v>509</v>
      </c>
      <c r="G237" s="36" t="s">
        <v>510</v>
      </c>
      <c r="H237" s="12">
        <v>45268</v>
      </c>
      <c r="I237" s="12"/>
      <c r="J237" s="10"/>
      <c r="K237" s="38" t="s">
        <v>693</v>
      </c>
    </row>
    <row r="238" spans="1:11" hidden="1" x14ac:dyDescent="0.2">
      <c r="A238" s="10">
        <v>2000025650</v>
      </c>
      <c r="B238" s="10" t="s">
        <v>935</v>
      </c>
      <c r="C238" s="10" t="s">
        <v>936</v>
      </c>
      <c r="D238" s="34">
        <v>184</v>
      </c>
      <c r="E238" s="11">
        <v>3100021333</v>
      </c>
      <c r="F238" s="35" t="s">
        <v>509</v>
      </c>
      <c r="G238" s="36" t="s">
        <v>510</v>
      </c>
      <c r="H238" s="12">
        <v>45268</v>
      </c>
      <c r="I238" s="12"/>
      <c r="J238" s="10"/>
      <c r="K238" s="38" t="s">
        <v>693</v>
      </c>
    </row>
    <row r="239" spans="1:11" hidden="1" x14ac:dyDescent="0.2">
      <c r="A239" s="10">
        <v>2000025924</v>
      </c>
      <c r="B239" s="10" t="s">
        <v>933</v>
      </c>
      <c r="C239" s="10" t="s">
        <v>934</v>
      </c>
      <c r="D239" s="34">
        <v>4</v>
      </c>
      <c r="E239" s="11">
        <v>3100021333</v>
      </c>
      <c r="F239" s="35" t="s">
        <v>509</v>
      </c>
      <c r="G239" s="36" t="s">
        <v>510</v>
      </c>
      <c r="H239" s="12">
        <v>45268</v>
      </c>
      <c r="I239" s="12"/>
      <c r="J239" s="10"/>
      <c r="K239" s="38" t="s">
        <v>693</v>
      </c>
    </row>
    <row r="240" spans="1:11" x14ac:dyDescent="0.2">
      <c r="A240" s="10">
        <v>2000026045</v>
      </c>
      <c r="B240" s="10" t="s">
        <v>937</v>
      </c>
      <c r="C240" s="10" t="s">
        <v>938</v>
      </c>
      <c r="D240" s="34">
        <v>50</v>
      </c>
      <c r="E240" s="11">
        <v>3100020827</v>
      </c>
      <c r="F240" s="35" t="s">
        <v>527</v>
      </c>
      <c r="G240" s="36" t="s">
        <v>504</v>
      </c>
      <c r="H240" s="12">
        <v>45278</v>
      </c>
      <c r="I240" s="12"/>
      <c r="J240" s="10"/>
      <c r="K240" s="14" t="s">
        <v>687</v>
      </c>
    </row>
    <row r="241" spans="1:11" hidden="1" x14ac:dyDescent="0.2">
      <c r="A241" s="10">
        <v>2000023394</v>
      </c>
      <c r="B241" s="10" t="s">
        <v>939</v>
      </c>
      <c r="C241" s="10" t="s">
        <v>940</v>
      </c>
      <c r="D241" s="34">
        <v>4</v>
      </c>
      <c r="E241" s="11">
        <v>3100019435</v>
      </c>
      <c r="F241" s="11" t="s">
        <v>659</v>
      </c>
      <c r="G241" s="11" t="s">
        <v>554</v>
      </c>
      <c r="H241" s="17" t="s">
        <v>472</v>
      </c>
      <c r="I241" s="12"/>
      <c r="J241" s="10"/>
      <c r="K241" s="38" t="s">
        <v>472</v>
      </c>
    </row>
    <row r="242" spans="1:11" hidden="1" x14ac:dyDescent="0.2">
      <c r="A242" s="10">
        <v>2000023395</v>
      </c>
      <c r="B242" s="10" t="s">
        <v>941</v>
      </c>
      <c r="C242" s="10" t="s">
        <v>660</v>
      </c>
      <c r="D242" s="34">
        <v>2</v>
      </c>
      <c r="E242" s="11">
        <v>3100019435</v>
      </c>
      <c r="F242" s="11" t="s">
        <v>659</v>
      </c>
      <c r="G242" s="11" t="s">
        <v>554</v>
      </c>
      <c r="H242" s="17" t="s">
        <v>472</v>
      </c>
      <c r="I242" s="12"/>
      <c r="J242" s="10"/>
      <c r="K242" s="38" t="s">
        <v>472</v>
      </c>
    </row>
    <row r="243" spans="1:11" hidden="1" x14ac:dyDescent="0.2">
      <c r="A243" s="10">
        <v>2000023319</v>
      </c>
      <c r="B243" s="10" t="s">
        <v>942</v>
      </c>
      <c r="C243" s="10" t="s">
        <v>657</v>
      </c>
      <c r="D243" s="34">
        <v>492</v>
      </c>
      <c r="E243" s="11">
        <v>3100019894</v>
      </c>
      <c r="F243" s="11" t="s">
        <v>658</v>
      </c>
      <c r="G243" s="15" t="s">
        <v>943</v>
      </c>
      <c r="H243" s="17" t="s">
        <v>472</v>
      </c>
      <c r="I243" s="12"/>
      <c r="J243" s="10"/>
      <c r="K243" s="38" t="s">
        <v>472</v>
      </c>
    </row>
    <row r="244" spans="1:11" hidden="1" x14ac:dyDescent="0.2">
      <c r="A244" s="10">
        <v>2000023320</v>
      </c>
      <c r="B244" s="10" t="s">
        <v>944</v>
      </c>
      <c r="C244" s="10" t="s">
        <v>945</v>
      </c>
      <c r="D244" s="34">
        <v>574</v>
      </c>
      <c r="E244" s="11">
        <v>3100019894</v>
      </c>
      <c r="F244" s="11" t="s">
        <v>658</v>
      </c>
      <c r="G244" s="15" t="s">
        <v>943</v>
      </c>
      <c r="H244" s="17" t="s">
        <v>472</v>
      </c>
      <c r="I244" s="12"/>
      <c r="J244" s="10"/>
      <c r="K244" s="38" t="s">
        <v>472</v>
      </c>
    </row>
    <row r="245" spans="1:11" hidden="1" x14ac:dyDescent="0.2">
      <c r="A245" s="10">
        <v>2000023321</v>
      </c>
      <c r="B245" s="10" t="s">
        <v>946</v>
      </c>
      <c r="C245" s="10" t="s">
        <v>947</v>
      </c>
      <c r="D245" s="34">
        <v>492</v>
      </c>
      <c r="E245" s="11">
        <v>3100019894</v>
      </c>
      <c r="F245" s="11" t="s">
        <v>658</v>
      </c>
      <c r="G245" s="15" t="s">
        <v>943</v>
      </c>
      <c r="H245" s="17" t="s">
        <v>472</v>
      </c>
      <c r="I245" s="12"/>
      <c r="J245" s="10"/>
      <c r="K245" s="38" t="s">
        <v>472</v>
      </c>
    </row>
    <row r="246" spans="1:11" hidden="1" x14ac:dyDescent="0.2">
      <c r="A246" s="10">
        <v>2000024049</v>
      </c>
      <c r="B246" s="10" t="s">
        <v>948</v>
      </c>
      <c r="C246" s="10" t="s">
        <v>949</v>
      </c>
      <c r="D246" s="34">
        <v>5000</v>
      </c>
      <c r="E246" s="11" t="s">
        <v>472</v>
      </c>
      <c r="F246" s="35" t="s">
        <v>472</v>
      </c>
      <c r="G246" s="36" t="s">
        <v>950</v>
      </c>
      <c r="H246" s="12" t="s">
        <v>472</v>
      </c>
      <c r="I246" s="12"/>
      <c r="J246" s="10"/>
      <c r="K246" s="38" t="s">
        <v>472</v>
      </c>
    </row>
    <row r="247" spans="1:11" hidden="1" x14ac:dyDescent="0.2">
      <c r="A247" s="10">
        <v>2000024050</v>
      </c>
      <c r="B247" s="10" t="s">
        <v>951</v>
      </c>
      <c r="C247" s="10" t="s">
        <v>952</v>
      </c>
      <c r="D247" s="34">
        <v>530</v>
      </c>
      <c r="E247" s="11" t="s">
        <v>472</v>
      </c>
      <c r="F247" s="35" t="s">
        <v>472</v>
      </c>
      <c r="G247" s="36" t="s">
        <v>950</v>
      </c>
      <c r="H247" s="12" t="s">
        <v>472</v>
      </c>
      <c r="I247" s="12"/>
      <c r="J247" s="10"/>
      <c r="K247" s="38" t="s">
        <v>472</v>
      </c>
    </row>
    <row r="248" spans="1:11" x14ac:dyDescent="0.2">
      <c r="A248" s="10">
        <v>2000024214</v>
      </c>
      <c r="B248" s="10" t="s">
        <v>953</v>
      </c>
      <c r="C248" s="10" t="s">
        <v>954</v>
      </c>
      <c r="D248" s="34">
        <v>510</v>
      </c>
      <c r="E248" s="11" t="s">
        <v>472</v>
      </c>
      <c r="F248" s="35" t="s">
        <v>472</v>
      </c>
      <c r="G248" s="36" t="s">
        <v>504</v>
      </c>
      <c r="H248" s="12" t="s">
        <v>472</v>
      </c>
      <c r="I248" s="12"/>
      <c r="J248" s="10"/>
      <c r="K248" s="13" t="s">
        <v>687</v>
      </c>
    </row>
    <row r="249" spans="1:11" x14ac:dyDescent="0.2">
      <c r="A249" s="10">
        <v>2000024215</v>
      </c>
      <c r="B249" s="10" t="s">
        <v>955</v>
      </c>
      <c r="C249" s="10" t="s">
        <v>579</v>
      </c>
      <c r="D249" s="34">
        <v>250</v>
      </c>
      <c r="E249" s="11" t="s">
        <v>472</v>
      </c>
      <c r="F249" s="35" t="s">
        <v>472</v>
      </c>
      <c r="G249" s="36" t="s">
        <v>504</v>
      </c>
      <c r="H249" s="12" t="s">
        <v>472</v>
      </c>
      <c r="I249" s="12"/>
      <c r="J249" s="10"/>
      <c r="K249" s="13" t="s">
        <v>687</v>
      </c>
    </row>
    <row r="250" spans="1:11" hidden="1" x14ac:dyDescent="0.2">
      <c r="A250" s="10">
        <v>2000024505</v>
      </c>
      <c r="B250" s="10" t="s">
        <v>956</v>
      </c>
      <c r="C250" s="10" t="s">
        <v>957</v>
      </c>
      <c r="D250" s="34">
        <v>21</v>
      </c>
      <c r="E250" s="11" t="s">
        <v>472</v>
      </c>
      <c r="F250" s="35" t="s">
        <v>472</v>
      </c>
      <c r="G250" s="36" t="s">
        <v>950</v>
      </c>
      <c r="H250" s="12" t="s">
        <v>472</v>
      </c>
      <c r="I250" s="12"/>
      <c r="J250" s="10"/>
      <c r="K250" s="38" t="s">
        <v>472</v>
      </c>
    </row>
    <row r="251" spans="1:11" hidden="1" x14ac:dyDescent="0.2">
      <c r="A251" s="10">
        <v>2000024509</v>
      </c>
      <c r="B251" s="10" t="s">
        <v>956</v>
      </c>
      <c r="C251" s="10" t="s">
        <v>957</v>
      </c>
      <c r="D251" s="34">
        <v>3800</v>
      </c>
      <c r="E251" s="11" t="s">
        <v>472</v>
      </c>
      <c r="F251" s="35" t="s">
        <v>472</v>
      </c>
      <c r="G251" s="36" t="s">
        <v>950</v>
      </c>
      <c r="H251" s="12" t="s">
        <v>472</v>
      </c>
      <c r="I251" s="12"/>
      <c r="J251" s="10"/>
      <c r="K251" s="38" t="s">
        <v>472</v>
      </c>
    </row>
    <row r="252" spans="1:11" hidden="1" x14ac:dyDescent="0.2">
      <c r="A252" s="10">
        <v>2000025351</v>
      </c>
      <c r="B252" s="10" t="s">
        <v>958</v>
      </c>
      <c r="C252" s="10" t="s">
        <v>959</v>
      </c>
      <c r="D252" s="34">
        <v>2000</v>
      </c>
      <c r="E252" s="11">
        <v>3100021059</v>
      </c>
      <c r="F252" s="35" t="s">
        <v>960</v>
      </c>
      <c r="G252" s="36" t="s">
        <v>716</v>
      </c>
      <c r="H252" s="12" t="s">
        <v>472</v>
      </c>
      <c r="I252" s="12"/>
      <c r="J252" s="10"/>
      <c r="K252" s="13" t="s">
        <v>472</v>
      </c>
    </row>
    <row r="253" spans="1:11" hidden="1" x14ac:dyDescent="0.2">
      <c r="A253" s="10">
        <v>2000025352</v>
      </c>
      <c r="B253" s="10" t="s">
        <v>961</v>
      </c>
      <c r="C253" s="10" t="s">
        <v>962</v>
      </c>
      <c r="D253" s="34">
        <v>1000</v>
      </c>
      <c r="E253" s="11">
        <v>3100021059</v>
      </c>
      <c r="F253" s="35" t="s">
        <v>960</v>
      </c>
      <c r="G253" s="36" t="s">
        <v>716</v>
      </c>
      <c r="H253" s="12" t="s">
        <v>472</v>
      </c>
      <c r="I253" s="12"/>
      <c r="J253" s="10"/>
      <c r="K253" s="13" t="s">
        <v>472</v>
      </c>
    </row>
    <row r="254" spans="1:11" x14ac:dyDescent="0.2">
      <c r="A254" s="10">
        <v>2000025524</v>
      </c>
      <c r="B254" s="10" t="s">
        <v>963</v>
      </c>
      <c r="C254" s="10" t="s">
        <v>964</v>
      </c>
      <c r="D254" s="34">
        <v>35</v>
      </c>
      <c r="E254" s="11" t="s">
        <v>472</v>
      </c>
      <c r="F254" s="35" t="s">
        <v>472</v>
      </c>
      <c r="G254" s="36" t="s">
        <v>504</v>
      </c>
      <c r="H254" s="12" t="s">
        <v>472</v>
      </c>
      <c r="I254" s="12"/>
      <c r="J254" s="10"/>
      <c r="K254" s="13" t="s">
        <v>687</v>
      </c>
    </row>
    <row r="255" spans="1:11" x14ac:dyDescent="0.2">
      <c r="A255" s="10">
        <v>2000025525</v>
      </c>
      <c r="B255" s="10" t="s">
        <v>965</v>
      </c>
      <c r="C255" s="10" t="s">
        <v>966</v>
      </c>
      <c r="D255" s="34">
        <v>50</v>
      </c>
      <c r="E255" s="11" t="s">
        <v>472</v>
      </c>
      <c r="F255" s="35" t="s">
        <v>472</v>
      </c>
      <c r="G255" s="36" t="s">
        <v>504</v>
      </c>
      <c r="H255" s="12" t="s">
        <v>472</v>
      </c>
      <c r="I255" s="12"/>
      <c r="J255" s="10"/>
      <c r="K255" s="13" t="s">
        <v>687</v>
      </c>
    </row>
    <row r="256" spans="1:11" x14ac:dyDescent="0.2">
      <c r="A256" s="10">
        <v>2000025526</v>
      </c>
      <c r="B256" s="10" t="s">
        <v>967</v>
      </c>
      <c r="C256" s="10" t="s">
        <v>968</v>
      </c>
      <c r="D256" s="34">
        <v>20</v>
      </c>
      <c r="E256" s="11" t="s">
        <v>472</v>
      </c>
      <c r="F256" s="35" t="s">
        <v>472</v>
      </c>
      <c r="G256" s="36" t="s">
        <v>504</v>
      </c>
      <c r="H256" s="12" t="s">
        <v>472</v>
      </c>
      <c r="I256" s="12"/>
      <c r="J256" s="10"/>
      <c r="K256" s="13" t="s">
        <v>687</v>
      </c>
    </row>
    <row r="257" spans="1:11" x14ac:dyDescent="0.2">
      <c r="A257" s="10">
        <v>2000025529</v>
      </c>
      <c r="B257" s="10" t="s">
        <v>969</v>
      </c>
      <c r="C257" s="10" t="s">
        <v>970</v>
      </c>
      <c r="D257" s="34">
        <v>30</v>
      </c>
      <c r="E257" s="11" t="s">
        <v>472</v>
      </c>
      <c r="F257" s="35" t="s">
        <v>472</v>
      </c>
      <c r="G257" s="36" t="s">
        <v>504</v>
      </c>
      <c r="H257" s="12" t="s">
        <v>472</v>
      </c>
      <c r="I257" s="12"/>
      <c r="J257" s="10"/>
      <c r="K257" s="13" t="s">
        <v>687</v>
      </c>
    </row>
    <row r="258" spans="1:11" hidden="1" x14ac:dyDescent="0.2">
      <c r="A258" s="10">
        <v>2000025784</v>
      </c>
      <c r="B258" s="10" t="s">
        <v>971</v>
      </c>
      <c r="C258" s="10" t="s">
        <v>972</v>
      </c>
      <c r="D258" s="34">
        <v>1000</v>
      </c>
      <c r="E258" s="11" t="s">
        <v>472</v>
      </c>
      <c r="F258" s="35" t="s">
        <v>472</v>
      </c>
      <c r="G258" s="36" t="s">
        <v>950</v>
      </c>
      <c r="H258" s="12" t="s">
        <v>472</v>
      </c>
      <c r="I258" s="12"/>
      <c r="J258" s="10"/>
      <c r="K258" s="38" t="s">
        <v>472</v>
      </c>
    </row>
    <row r="259" spans="1:11" hidden="1" x14ac:dyDescent="0.2">
      <c r="A259" s="10">
        <v>2000026038</v>
      </c>
      <c r="B259" s="10" t="s">
        <v>971</v>
      </c>
      <c r="C259" s="10" t="s">
        <v>972</v>
      </c>
      <c r="D259" s="34">
        <v>886</v>
      </c>
      <c r="E259" s="11" t="s">
        <v>472</v>
      </c>
      <c r="F259" s="35" t="s">
        <v>472</v>
      </c>
      <c r="G259" s="36" t="s">
        <v>950</v>
      </c>
      <c r="H259" s="12" t="s">
        <v>472</v>
      </c>
      <c r="I259" s="12"/>
      <c r="J259" s="10"/>
      <c r="K259" s="38" t="s">
        <v>472</v>
      </c>
    </row>
    <row r="260" spans="1:11" hidden="1" x14ac:dyDescent="0.2">
      <c r="A260" s="10">
        <v>2000024792</v>
      </c>
      <c r="B260" s="10" t="s">
        <v>973</v>
      </c>
      <c r="C260" s="10" t="s">
        <v>974</v>
      </c>
      <c r="D260" s="34">
        <v>272</v>
      </c>
      <c r="E260" s="11">
        <v>3100020032</v>
      </c>
      <c r="F260" s="11" t="s">
        <v>634</v>
      </c>
      <c r="G260" s="11" t="s">
        <v>635</v>
      </c>
      <c r="H260" s="39" t="s">
        <v>537</v>
      </c>
      <c r="I260" s="12"/>
      <c r="J260" s="10"/>
      <c r="K260" s="38" t="s">
        <v>693</v>
      </c>
    </row>
    <row r="261" spans="1:11" hidden="1" x14ac:dyDescent="0.2">
      <c r="A261" s="10">
        <v>2000025321</v>
      </c>
      <c r="B261" s="10" t="s">
        <v>975</v>
      </c>
      <c r="C261" s="10" t="s">
        <v>976</v>
      </c>
      <c r="D261" s="34">
        <v>204</v>
      </c>
      <c r="E261" s="11">
        <v>3100020975</v>
      </c>
      <c r="F261" s="11" t="s">
        <v>664</v>
      </c>
      <c r="G261" s="11" t="s">
        <v>665</v>
      </c>
      <c r="H261" s="39" t="s">
        <v>537</v>
      </c>
      <c r="I261" s="12"/>
      <c r="J261" s="10"/>
      <c r="K261" s="38" t="s">
        <v>472</v>
      </c>
    </row>
    <row r="262" spans="1:11" x14ac:dyDescent="0.2">
      <c r="A262" s="10">
        <v>2000025893</v>
      </c>
      <c r="B262" s="10" t="s">
        <v>977</v>
      </c>
      <c r="C262" s="10" t="s">
        <v>978</v>
      </c>
      <c r="D262" s="34">
        <v>14</v>
      </c>
      <c r="E262" s="11" t="e">
        <v>#N/A</v>
      </c>
      <c r="F262" s="35" t="e">
        <v>#N/A</v>
      </c>
      <c r="G262" s="36" t="e">
        <v>#N/A</v>
      </c>
      <c r="H262" s="12" t="e">
        <v>#N/A</v>
      </c>
      <c r="I262" s="12"/>
      <c r="J262" s="10"/>
      <c r="K262" s="13" t="s">
        <v>687</v>
      </c>
    </row>
    <row r="263" spans="1:11" hidden="1" x14ac:dyDescent="0.2">
      <c r="A263" s="10">
        <v>2000026023</v>
      </c>
      <c r="B263" s="10" t="s">
        <v>979</v>
      </c>
      <c r="C263" s="10" t="s">
        <v>980</v>
      </c>
      <c r="D263" s="34">
        <v>192</v>
      </c>
      <c r="E263" s="11" t="e">
        <v>#N/A</v>
      </c>
      <c r="F263" s="35" t="e">
        <v>#N/A</v>
      </c>
      <c r="G263" s="36" t="e">
        <v>#N/A</v>
      </c>
      <c r="H263" s="12" t="e">
        <v>#N/A</v>
      </c>
      <c r="I263" s="12"/>
      <c r="J263" s="10"/>
      <c r="K263" s="38" t="s">
        <v>472</v>
      </c>
    </row>
    <row r="264" spans="1:11" hidden="1" x14ac:dyDescent="0.2">
      <c r="A264" s="10">
        <v>2000026044</v>
      </c>
      <c r="B264" s="10" t="s">
        <v>981</v>
      </c>
      <c r="C264" s="10" t="s">
        <v>982</v>
      </c>
      <c r="D264" s="34">
        <v>2</v>
      </c>
      <c r="E264" s="11" t="e">
        <v>#N/A</v>
      </c>
      <c r="F264" s="35" t="e">
        <v>#N/A</v>
      </c>
      <c r="G264" s="36" t="e">
        <v>#N/A</v>
      </c>
      <c r="H264" s="12" t="e">
        <v>#N/A</v>
      </c>
      <c r="I264" s="12"/>
      <c r="J264" s="10"/>
      <c r="K264" s="38" t="s">
        <v>472</v>
      </c>
    </row>
    <row r="265" spans="1:11" hidden="1" x14ac:dyDescent="0.2">
      <c r="A265" s="10">
        <v>2000026046</v>
      </c>
      <c r="B265" s="10" t="s">
        <v>983</v>
      </c>
      <c r="C265" s="10" t="s">
        <v>984</v>
      </c>
      <c r="D265" s="34">
        <v>48</v>
      </c>
      <c r="E265" s="11" t="e">
        <v>#N/A</v>
      </c>
      <c r="F265" s="35" t="e">
        <v>#N/A</v>
      </c>
      <c r="G265" s="36" t="e">
        <v>#N/A</v>
      </c>
      <c r="H265" s="12" t="e">
        <v>#N/A</v>
      </c>
      <c r="I265" s="12"/>
      <c r="J265" s="10"/>
      <c r="K265" s="38" t="s">
        <v>472</v>
      </c>
    </row>
    <row r="266" spans="1:11" hidden="1" x14ac:dyDescent="0.2">
      <c r="A266" s="10">
        <v>2000026051</v>
      </c>
      <c r="B266" s="10" t="s">
        <v>985</v>
      </c>
      <c r="C266" s="10" t="s">
        <v>986</v>
      </c>
      <c r="D266" s="34">
        <v>4</v>
      </c>
      <c r="E266" s="11" t="e">
        <v>#N/A</v>
      </c>
      <c r="F266" s="35" t="e">
        <v>#N/A</v>
      </c>
      <c r="G266" s="36" t="e">
        <v>#N/A</v>
      </c>
      <c r="H266" s="12" t="e">
        <v>#N/A</v>
      </c>
      <c r="I266" s="12"/>
      <c r="J266" s="10"/>
      <c r="K266" s="38" t="s">
        <v>472</v>
      </c>
    </row>
    <row r="267" spans="1:11" hidden="1" x14ac:dyDescent="0.2">
      <c r="A267" s="10">
        <v>5000031424</v>
      </c>
      <c r="B267" s="10" t="s">
        <v>987</v>
      </c>
      <c r="C267" s="10" t="s">
        <v>988</v>
      </c>
      <c r="D267" s="34">
        <v>1</v>
      </c>
      <c r="E267" s="11" t="e">
        <v>#N/A</v>
      </c>
      <c r="F267" s="35" t="e">
        <v>#N/A</v>
      </c>
      <c r="G267" s="36" t="e">
        <v>#N/A</v>
      </c>
      <c r="H267" s="12" t="e">
        <v>#N/A</v>
      </c>
      <c r="I267" s="12"/>
      <c r="J267" s="10"/>
      <c r="K267" s="38" t="s">
        <v>472</v>
      </c>
    </row>
  </sheetData>
  <autoFilter ref="A1:K267" xr:uid="{A0F1E25E-FAF9-4622-8955-193809EB9C13}">
    <filterColumn colId="10">
      <filters>
        <filter val="ISIL İŞLEM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D255-54A3-43C6-A6FE-548C8DEE21A4}">
  <dimension ref="A1:J169"/>
  <sheetViews>
    <sheetView topLeftCell="A155" workbookViewId="0">
      <selection activeCell="A170" sqref="A170:G225"/>
    </sheetView>
  </sheetViews>
  <sheetFormatPr defaultRowHeight="12.75" x14ac:dyDescent="0.2"/>
  <cols>
    <col min="1" max="1" width="10.7109375" bestFit="1" customWidth="1"/>
    <col min="2" max="2" width="43.28515625" bestFit="1" customWidth="1"/>
    <col min="6" max="6" width="16.7109375" bestFit="1" customWidth="1"/>
    <col min="7" max="7" width="9.7109375" bestFit="1" customWidth="1"/>
    <col min="9" max="9" width="12.85546875" bestFit="1" customWidth="1"/>
    <col min="10" max="10" width="16.28515625" bestFit="1" customWidth="1"/>
  </cols>
  <sheetData>
    <row r="1" spans="1:10" x14ac:dyDescent="0.2">
      <c r="A1" s="2" t="s">
        <v>459</v>
      </c>
      <c r="B1" s="2" t="s">
        <v>460</v>
      </c>
      <c r="C1" s="3" t="s">
        <v>462</v>
      </c>
      <c r="D1" s="40" t="s">
        <v>989</v>
      </c>
      <c r="E1" s="40" t="s">
        <v>990</v>
      </c>
      <c r="F1" s="4" t="s">
        <v>463</v>
      </c>
      <c r="G1" s="3" t="s">
        <v>464</v>
      </c>
      <c r="H1" s="3" t="s">
        <v>465</v>
      </c>
      <c r="I1" s="33" t="s">
        <v>466</v>
      </c>
      <c r="J1" s="3" t="s">
        <v>471</v>
      </c>
    </row>
    <row r="2" spans="1:10" x14ac:dyDescent="0.2">
      <c r="A2" s="1" t="s">
        <v>991</v>
      </c>
      <c r="B2" s="41" t="s">
        <v>992</v>
      </c>
      <c r="C2">
        <v>2660</v>
      </c>
      <c r="D2">
        <v>3.57</v>
      </c>
      <c r="E2">
        <f>C2*D2/1000</f>
        <v>9.4961999999999982</v>
      </c>
    </row>
    <row r="3" spans="1:10" x14ac:dyDescent="0.2">
      <c r="A3" s="1" t="s">
        <v>993</v>
      </c>
      <c r="B3" s="41" t="s">
        <v>994</v>
      </c>
      <c r="C3">
        <v>283545</v>
      </c>
      <c r="D3">
        <v>6.27</v>
      </c>
      <c r="E3">
        <f t="shared" ref="E3:E66" si="0">C3*D3/1000</f>
        <v>1777.8271499999998</v>
      </c>
    </row>
    <row r="4" spans="1:10" x14ac:dyDescent="0.2">
      <c r="A4" s="1" t="s">
        <v>995</v>
      </c>
      <c r="B4" s="41" t="s">
        <v>996</v>
      </c>
      <c r="C4">
        <v>3198</v>
      </c>
      <c r="D4">
        <v>8.6199999999999992</v>
      </c>
      <c r="E4">
        <f t="shared" si="0"/>
        <v>27.566759999999999</v>
      </c>
    </row>
    <row r="5" spans="1:10" x14ac:dyDescent="0.2">
      <c r="A5" s="1" t="s">
        <v>997</v>
      </c>
      <c r="B5" s="41" t="s">
        <v>998</v>
      </c>
      <c r="C5">
        <v>54788</v>
      </c>
      <c r="D5">
        <v>17.16</v>
      </c>
      <c r="E5">
        <f t="shared" si="0"/>
        <v>940.16207999999995</v>
      </c>
    </row>
    <row r="6" spans="1:10" x14ac:dyDescent="0.2">
      <c r="A6" s="1" t="s">
        <v>999</v>
      </c>
      <c r="B6" s="41" t="s">
        <v>1000</v>
      </c>
      <c r="C6">
        <v>280</v>
      </c>
      <c r="D6">
        <v>18.350000000000001</v>
      </c>
      <c r="E6">
        <f t="shared" si="0"/>
        <v>5.1379999999999999</v>
      </c>
    </row>
    <row r="7" spans="1:10" x14ac:dyDescent="0.2">
      <c r="A7" s="1" t="s">
        <v>1001</v>
      </c>
      <c r="B7" s="41" t="s">
        <v>1002</v>
      </c>
      <c r="C7">
        <v>9829</v>
      </c>
      <c r="D7">
        <v>32.33</v>
      </c>
      <c r="E7">
        <f t="shared" si="0"/>
        <v>317.77157</v>
      </c>
    </row>
    <row r="8" spans="1:10" x14ac:dyDescent="0.2">
      <c r="A8" s="1" t="s">
        <v>1003</v>
      </c>
      <c r="B8" s="41" t="s">
        <v>1004</v>
      </c>
      <c r="C8">
        <v>596</v>
      </c>
      <c r="D8">
        <v>53.64</v>
      </c>
      <c r="E8">
        <f t="shared" si="0"/>
        <v>31.969439999999999</v>
      </c>
    </row>
    <row r="9" spans="1:10" x14ac:dyDescent="0.2">
      <c r="A9" s="1" t="s">
        <v>1005</v>
      </c>
      <c r="B9" s="41" t="s">
        <v>1006</v>
      </c>
      <c r="C9">
        <v>150</v>
      </c>
      <c r="D9">
        <v>92.08</v>
      </c>
      <c r="E9">
        <f t="shared" si="0"/>
        <v>13.811999999999999</v>
      </c>
    </row>
    <row r="10" spans="1:10" x14ac:dyDescent="0.2">
      <c r="A10" s="1" t="s">
        <v>1007</v>
      </c>
      <c r="B10" s="41" t="s">
        <v>1008</v>
      </c>
      <c r="C10">
        <v>3179</v>
      </c>
      <c r="D10">
        <v>7.01</v>
      </c>
      <c r="E10">
        <f t="shared" si="0"/>
        <v>22.284790000000001</v>
      </c>
    </row>
    <row r="11" spans="1:10" x14ac:dyDescent="0.2">
      <c r="A11" s="1" t="s">
        <v>1009</v>
      </c>
      <c r="B11" s="41" t="s">
        <v>1010</v>
      </c>
      <c r="C11">
        <v>792</v>
      </c>
      <c r="D11">
        <v>14.29</v>
      </c>
      <c r="E11">
        <f t="shared" si="0"/>
        <v>11.317679999999999</v>
      </c>
    </row>
    <row r="12" spans="1:10" x14ac:dyDescent="0.2">
      <c r="A12" s="1" t="s">
        <v>1011</v>
      </c>
      <c r="B12" s="41" t="s">
        <v>1012</v>
      </c>
      <c r="C12">
        <v>63</v>
      </c>
      <c r="D12">
        <v>106.26</v>
      </c>
      <c r="E12">
        <f t="shared" si="0"/>
        <v>6.6943799999999998</v>
      </c>
    </row>
    <row r="13" spans="1:10" x14ac:dyDescent="0.2">
      <c r="A13" s="1" t="s">
        <v>1013</v>
      </c>
      <c r="B13" s="41" t="s">
        <v>1014</v>
      </c>
      <c r="C13">
        <v>5229</v>
      </c>
      <c r="D13">
        <v>26.68</v>
      </c>
      <c r="E13">
        <f t="shared" si="0"/>
        <v>139.50971999999999</v>
      </c>
    </row>
    <row r="14" spans="1:10" x14ac:dyDescent="0.2">
      <c r="A14" s="1" t="s">
        <v>1015</v>
      </c>
      <c r="B14" s="41" t="s">
        <v>1016</v>
      </c>
      <c r="C14">
        <v>17881</v>
      </c>
      <c r="D14">
        <v>61.06</v>
      </c>
      <c r="E14">
        <f t="shared" si="0"/>
        <v>1091.8138600000002</v>
      </c>
    </row>
    <row r="15" spans="1:10" x14ac:dyDescent="0.2">
      <c r="A15" s="1" t="s">
        <v>1017</v>
      </c>
      <c r="B15" s="41" t="s">
        <v>1018</v>
      </c>
      <c r="C15">
        <v>1</v>
      </c>
      <c r="D15">
        <v>137.88999999999999</v>
      </c>
      <c r="E15">
        <f t="shared" si="0"/>
        <v>0.13788999999999998</v>
      </c>
    </row>
    <row r="16" spans="1:10" x14ac:dyDescent="0.2">
      <c r="A16" s="1" t="s">
        <v>1019</v>
      </c>
      <c r="B16" s="41" t="s">
        <v>1020</v>
      </c>
      <c r="C16">
        <v>3179</v>
      </c>
      <c r="D16">
        <v>42.73</v>
      </c>
      <c r="E16">
        <f t="shared" si="0"/>
        <v>135.83866999999998</v>
      </c>
    </row>
    <row r="17" spans="1:5" x14ac:dyDescent="0.2">
      <c r="A17" s="1" t="s">
        <v>1021</v>
      </c>
      <c r="B17" s="41" t="s">
        <v>1022</v>
      </c>
      <c r="C17">
        <v>1</v>
      </c>
      <c r="D17">
        <v>6.07</v>
      </c>
      <c r="E17">
        <f t="shared" si="0"/>
        <v>6.0699999999999999E-3</v>
      </c>
    </row>
    <row r="18" spans="1:5" x14ac:dyDescent="0.2">
      <c r="A18" s="1" t="s">
        <v>1023</v>
      </c>
      <c r="B18" s="41" t="s">
        <v>1024</v>
      </c>
      <c r="C18">
        <v>370393</v>
      </c>
      <c r="D18">
        <v>3.7</v>
      </c>
      <c r="E18">
        <f t="shared" si="0"/>
        <v>1370.4541000000002</v>
      </c>
    </row>
    <row r="19" spans="1:5" x14ac:dyDescent="0.2">
      <c r="A19" s="1" t="s">
        <v>1025</v>
      </c>
      <c r="B19" s="41" t="s">
        <v>1026</v>
      </c>
      <c r="C19">
        <v>981108</v>
      </c>
      <c r="D19">
        <v>9.08</v>
      </c>
      <c r="E19">
        <f t="shared" si="0"/>
        <v>8908.4606400000011</v>
      </c>
    </row>
    <row r="20" spans="1:5" x14ac:dyDescent="0.2">
      <c r="A20" s="1" t="s">
        <v>1027</v>
      </c>
      <c r="B20" s="41" t="s">
        <v>1028</v>
      </c>
      <c r="C20">
        <v>26887</v>
      </c>
      <c r="D20">
        <v>15.42</v>
      </c>
      <c r="E20">
        <f t="shared" si="0"/>
        <v>414.59753999999998</v>
      </c>
    </row>
    <row r="21" spans="1:5" x14ac:dyDescent="0.2">
      <c r="A21" s="1" t="s">
        <v>1029</v>
      </c>
      <c r="B21" s="41" t="s">
        <v>1030</v>
      </c>
      <c r="C21">
        <v>39066</v>
      </c>
      <c r="D21">
        <v>27.07</v>
      </c>
      <c r="E21">
        <f t="shared" si="0"/>
        <v>1057.5166200000001</v>
      </c>
    </row>
    <row r="22" spans="1:5" x14ac:dyDescent="0.2">
      <c r="A22" s="1" t="s">
        <v>1031</v>
      </c>
      <c r="B22" s="41" t="s">
        <v>1032</v>
      </c>
      <c r="C22">
        <v>446</v>
      </c>
      <c r="D22">
        <v>21.5</v>
      </c>
      <c r="E22">
        <f t="shared" si="0"/>
        <v>9.5890000000000004</v>
      </c>
    </row>
    <row r="23" spans="1:5" x14ac:dyDescent="0.2">
      <c r="A23" s="1" t="s">
        <v>1033</v>
      </c>
      <c r="B23" s="41" t="s">
        <v>1034</v>
      </c>
      <c r="C23">
        <v>1862</v>
      </c>
      <c r="D23">
        <v>26.82</v>
      </c>
      <c r="E23">
        <f t="shared" si="0"/>
        <v>49.938840000000006</v>
      </c>
    </row>
    <row r="24" spans="1:5" x14ac:dyDescent="0.2">
      <c r="A24" s="1" t="s">
        <v>1035</v>
      </c>
      <c r="B24" s="41" t="s">
        <v>1036</v>
      </c>
      <c r="C24">
        <v>620</v>
      </c>
      <c r="D24">
        <v>17.46</v>
      </c>
      <c r="E24">
        <f t="shared" si="0"/>
        <v>10.825200000000001</v>
      </c>
    </row>
    <row r="25" spans="1:5" x14ac:dyDescent="0.2">
      <c r="A25" s="1" t="s">
        <v>1037</v>
      </c>
      <c r="B25" s="41" t="s">
        <v>1038</v>
      </c>
      <c r="C25">
        <v>1140</v>
      </c>
      <c r="D25">
        <v>14.7</v>
      </c>
      <c r="E25">
        <f t="shared" si="0"/>
        <v>16.757999999999999</v>
      </c>
    </row>
    <row r="26" spans="1:5" x14ac:dyDescent="0.2">
      <c r="A26" s="1" t="s">
        <v>1039</v>
      </c>
      <c r="B26" s="41" t="s">
        <v>1040</v>
      </c>
      <c r="C26">
        <v>40</v>
      </c>
      <c r="D26">
        <v>126.51</v>
      </c>
      <c r="E26">
        <f t="shared" si="0"/>
        <v>5.0604000000000005</v>
      </c>
    </row>
    <row r="27" spans="1:5" x14ac:dyDescent="0.2">
      <c r="A27" s="1" t="s">
        <v>1041</v>
      </c>
      <c r="B27" s="41" t="s">
        <v>1042</v>
      </c>
      <c r="C27">
        <v>1</v>
      </c>
      <c r="D27">
        <v>16.579999999999998</v>
      </c>
      <c r="E27">
        <f t="shared" si="0"/>
        <v>1.6579999999999998E-2</v>
      </c>
    </row>
    <row r="28" spans="1:5" x14ac:dyDescent="0.2">
      <c r="A28" s="1" t="s">
        <v>1043</v>
      </c>
      <c r="B28" s="41" t="s">
        <v>1044</v>
      </c>
      <c r="C28">
        <v>2</v>
      </c>
      <c r="D28">
        <v>53.43</v>
      </c>
      <c r="E28">
        <f t="shared" si="0"/>
        <v>0.10686</v>
      </c>
    </row>
    <row r="29" spans="1:5" x14ac:dyDescent="0.2">
      <c r="A29" s="1" t="s">
        <v>1045</v>
      </c>
      <c r="B29" s="41" t="s">
        <v>1046</v>
      </c>
      <c r="C29">
        <v>2600</v>
      </c>
      <c r="D29">
        <v>18.2</v>
      </c>
      <c r="E29">
        <f t="shared" si="0"/>
        <v>47.32</v>
      </c>
    </row>
    <row r="30" spans="1:5" x14ac:dyDescent="0.2">
      <c r="A30" s="1" t="s">
        <v>1047</v>
      </c>
      <c r="B30" s="41" t="s">
        <v>1048</v>
      </c>
      <c r="C30">
        <v>1970</v>
      </c>
      <c r="D30">
        <v>19.329999999999998</v>
      </c>
      <c r="E30">
        <f t="shared" si="0"/>
        <v>38.080100000000002</v>
      </c>
    </row>
    <row r="31" spans="1:5" x14ac:dyDescent="0.2">
      <c r="A31" s="1" t="s">
        <v>1049</v>
      </c>
      <c r="B31" s="41" t="s">
        <v>1050</v>
      </c>
      <c r="C31">
        <v>2</v>
      </c>
      <c r="D31">
        <v>42.73</v>
      </c>
      <c r="E31">
        <f t="shared" si="0"/>
        <v>8.5459999999999994E-2</v>
      </c>
    </row>
    <row r="32" spans="1:5" x14ac:dyDescent="0.2">
      <c r="A32" s="1" t="s">
        <v>1051</v>
      </c>
      <c r="B32" s="41" t="s">
        <v>1052</v>
      </c>
      <c r="C32">
        <v>2419</v>
      </c>
      <c r="D32">
        <v>61.06</v>
      </c>
      <c r="E32">
        <f t="shared" si="0"/>
        <v>147.70414000000002</v>
      </c>
    </row>
    <row r="33" spans="1:5" x14ac:dyDescent="0.2">
      <c r="A33" s="1" t="s">
        <v>1053</v>
      </c>
      <c r="B33" s="41" t="s">
        <v>1054</v>
      </c>
      <c r="C33">
        <v>1</v>
      </c>
      <c r="D33">
        <v>26.71</v>
      </c>
      <c r="E33">
        <f t="shared" si="0"/>
        <v>2.6710000000000001E-2</v>
      </c>
    </row>
    <row r="34" spans="1:5" x14ac:dyDescent="0.2">
      <c r="A34" s="1" t="s">
        <v>1055</v>
      </c>
      <c r="B34" s="41" t="s">
        <v>1056</v>
      </c>
      <c r="C34">
        <v>1</v>
      </c>
      <c r="D34">
        <v>64.099999999999994</v>
      </c>
      <c r="E34">
        <f t="shared" si="0"/>
        <v>6.409999999999999E-2</v>
      </c>
    </row>
    <row r="35" spans="1:5" x14ac:dyDescent="0.2">
      <c r="A35" s="1" t="s">
        <v>1057</v>
      </c>
      <c r="B35" s="41" t="s">
        <v>1058</v>
      </c>
      <c r="C35">
        <v>1</v>
      </c>
      <c r="D35">
        <v>53.41</v>
      </c>
      <c r="E35">
        <f t="shared" si="0"/>
        <v>5.3409999999999999E-2</v>
      </c>
    </row>
    <row r="36" spans="1:5" x14ac:dyDescent="0.2">
      <c r="A36" s="1" t="s">
        <v>1059</v>
      </c>
      <c r="B36" s="41" t="s">
        <v>1060</v>
      </c>
      <c r="C36">
        <v>1</v>
      </c>
      <c r="D36">
        <v>43.01</v>
      </c>
      <c r="E36">
        <f t="shared" si="0"/>
        <v>4.301E-2</v>
      </c>
    </row>
    <row r="37" spans="1:5" x14ac:dyDescent="0.2">
      <c r="A37" s="1" t="s">
        <v>1061</v>
      </c>
      <c r="B37" s="41" t="s">
        <v>1062</v>
      </c>
      <c r="C37">
        <v>175</v>
      </c>
      <c r="D37">
        <v>53.77</v>
      </c>
      <c r="E37">
        <f t="shared" si="0"/>
        <v>9.4097500000000007</v>
      </c>
    </row>
    <row r="38" spans="1:5" x14ac:dyDescent="0.2">
      <c r="A38" s="1" t="s">
        <v>1063</v>
      </c>
      <c r="B38" s="41" t="s">
        <v>1064</v>
      </c>
      <c r="C38">
        <v>1</v>
      </c>
      <c r="D38">
        <v>28.68</v>
      </c>
      <c r="E38">
        <f t="shared" si="0"/>
        <v>2.8680000000000001E-2</v>
      </c>
    </row>
    <row r="39" spans="1:5" x14ac:dyDescent="0.2">
      <c r="A39" s="1" t="s">
        <v>1065</v>
      </c>
      <c r="B39" s="41" t="s">
        <v>1066</v>
      </c>
      <c r="C39">
        <v>1</v>
      </c>
      <c r="D39">
        <v>294.16000000000003</v>
      </c>
      <c r="E39">
        <f t="shared" si="0"/>
        <v>0.29416000000000003</v>
      </c>
    </row>
    <row r="40" spans="1:5" x14ac:dyDescent="0.2">
      <c r="A40" s="1" t="s">
        <v>1067</v>
      </c>
      <c r="B40" s="41" t="s">
        <v>1068</v>
      </c>
      <c r="C40">
        <v>2</v>
      </c>
      <c r="D40">
        <v>23.43</v>
      </c>
      <c r="E40">
        <f t="shared" si="0"/>
        <v>4.6859999999999999E-2</v>
      </c>
    </row>
    <row r="41" spans="1:5" x14ac:dyDescent="0.2">
      <c r="A41" s="1" t="s">
        <v>1069</v>
      </c>
      <c r="B41" s="41" t="s">
        <v>1070</v>
      </c>
      <c r="C41">
        <v>1</v>
      </c>
      <c r="D41">
        <v>115.27</v>
      </c>
      <c r="E41">
        <f t="shared" si="0"/>
        <v>0.11527</v>
      </c>
    </row>
    <row r="42" spans="1:5" x14ac:dyDescent="0.2">
      <c r="A42" s="1" t="s">
        <v>1071</v>
      </c>
      <c r="B42" s="41" t="s">
        <v>1072</v>
      </c>
      <c r="C42">
        <v>257</v>
      </c>
      <c r="D42">
        <v>192.11</v>
      </c>
      <c r="E42">
        <f t="shared" si="0"/>
        <v>49.372270000000007</v>
      </c>
    </row>
    <row r="43" spans="1:5" x14ac:dyDescent="0.2">
      <c r="A43" s="1" t="s">
        <v>1073</v>
      </c>
      <c r="B43" s="41" t="s">
        <v>1074</v>
      </c>
      <c r="C43">
        <v>58</v>
      </c>
      <c r="D43">
        <v>17.57</v>
      </c>
      <c r="E43">
        <f t="shared" si="0"/>
        <v>1.0190600000000001</v>
      </c>
    </row>
    <row r="44" spans="1:5" x14ac:dyDescent="0.2">
      <c r="A44" s="1" t="s">
        <v>1075</v>
      </c>
      <c r="B44" s="41" t="s">
        <v>1076</v>
      </c>
      <c r="C44">
        <v>32365</v>
      </c>
      <c r="D44">
        <v>40.049999999999997</v>
      </c>
      <c r="E44">
        <f t="shared" si="0"/>
        <v>1296.2182499999999</v>
      </c>
    </row>
    <row r="45" spans="1:5" x14ac:dyDescent="0.2">
      <c r="A45" s="1" t="s">
        <v>1077</v>
      </c>
      <c r="B45" s="41" t="s">
        <v>1078</v>
      </c>
      <c r="C45">
        <v>30</v>
      </c>
      <c r="D45">
        <v>76.17</v>
      </c>
      <c r="E45">
        <f t="shared" si="0"/>
        <v>2.2850999999999999</v>
      </c>
    </row>
    <row r="46" spans="1:5" x14ac:dyDescent="0.2">
      <c r="A46" s="1" t="s">
        <v>1079</v>
      </c>
      <c r="B46" s="41" t="s">
        <v>1080</v>
      </c>
      <c r="C46">
        <v>954</v>
      </c>
      <c r="D46">
        <v>6.07</v>
      </c>
      <c r="E46">
        <f t="shared" si="0"/>
        <v>5.7907800000000007</v>
      </c>
    </row>
    <row r="47" spans="1:5" x14ac:dyDescent="0.2">
      <c r="A47" s="1" t="s">
        <v>1081</v>
      </c>
      <c r="B47" s="41" t="s">
        <v>1082</v>
      </c>
      <c r="C47">
        <v>10900</v>
      </c>
      <c r="D47">
        <v>6.27</v>
      </c>
      <c r="E47">
        <f t="shared" si="0"/>
        <v>68.343000000000004</v>
      </c>
    </row>
    <row r="48" spans="1:5" x14ac:dyDescent="0.2">
      <c r="A48" s="1" t="s">
        <v>1083</v>
      </c>
      <c r="B48" s="41" t="s">
        <v>1084</v>
      </c>
      <c r="C48">
        <v>312</v>
      </c>
      <c r="D48">
        <v>14.29</v>
      </c>
      <c r="E48">
        <f t="shared" si="0"/>
        <v>4.4584799999999998</v>
      </c>
    </row>
    <row r="49" spans="1:5" x14ac:dyDescent="0.2">
      <c r="A49" s="1" t="s">
        <v>1085</v>
      </c>
      <c r="B49" s="41" t="s">
        <v>1086</v>
      </c>
      <c r="C49">
        <v>187</v>
      </c>
      <c r="D49">
        <v>50</v>
      </c>
      <c r="E49">
        <f t="shared" si="0"/>
        <v>9.35</v>
      </c>
    </row>
    <row r="50" spans="1:5" x14ac:dyDescent="0.2">
      <c r="A50" s="1" t="s">
        <v>1087</v>
      </c>
      <c r="B50" s="41" t="s">
        <v>1088</v>
      </c>
      <c r="C50">
        <v>65102</v>
      </c>
      <c r="D50">
        <v>49.28</v>
      </c>
      <c r="E50">
        <f t="shared" si="0"/>
        <v>3208.2265600000001</v>
      </c>
    </row>
    <row r="51" spans="1:5" x14ac:dyDescent="0.2">
      <c r="A51" s="1" t="s">
        <v>215</v>
      </c>
      <c r="B51" s="41" t="s">
        <v>216</v>
      </c>
      <c r="C51">
        <v>25000</v>
      </c>
      <c r="D51">
        <v>15.08</v>
      </c>
      <c r="E51">
        <f t="shared" si="0"/>
        <v>377</v>
      </c>
    </row>
    <row r="52" spans="1:5" x14ac:dyDescent="0.2">
      <c r="A52" s="1" t="s">
        <v>1089</v>
      </c>
      <c r="B52" s="41" t="s">
        <v>1090</v>
      </c>
      <c r="C52">
        <v>1005</v>
      </c>
      <c r="D52">
        <v>113.57</v>
      </c>
      <c r="E52">
        <f t="shared" si="0"/>
        <v>114.13784999999999</v>
      </c>
    </row>
    <row r="53" spans="1:5" x14ac:dyDescent="0.2">
      <c r="A53" s="1" t="s">
        <v>1091</v>
      </c>
      <c r="B53" s="41" t="s">
        <v>1092</v>
      </c>
      <c r="C53">
        <v>10300</v>
      </c>
      <c r="D53">
        <v>227.9</v>
      </c>
      <c r="E53">
        <f t="shared" si="0"/>
        <v>2347.37</v>
      </c>
    </row>
    <row r="54" spans="1:5" x14ac:dyDescent="0.2">
      <c r="A54" s="1" t="s">
        <v>267</v>
      </c>
      <c r="B54" s="41" t="s">
        <v>268</v>
      </c>
      <c r="C54">
        <v>1501</v>
      </c>
      <c r="D54">
        <v>55.55</v>
      </c>
      <c r="E54">
        <f t="shared" si="0"/>
        <v>83.380549999999999</v>
      </c>
    </row>
    <row r="55" spans="1:5" x14ac:dyDescent="0.2">
      <c r="A55" s="1" t="s">
        <v>263</v>
      </c>
      <c r="B55" s="41" t="s">
        <v>264</v>
      </c>
      <c r="C55">
        <v>45233</v>
      </c>
      <c r="D55">
        <v>55.55</v>
      </c>
      <c r="E55">
        <f t="shared" si="0"/>
        <v>2512.6931500000001</v>
      </c>
    </row>
    <row r="56" spans="1:5" x14ac:dyDescent="0.2">
      <c r="A56" s="1" t="s">
        <v>1093</v>
      </c>
      <c r="B56" s="41" t="s">
        <v>1094</v>
      </c>
      <c r="C56">
        <v>29465</v>
      </c>
      <c r="D56">
        <v>92.74</v>
      </c>
      <c r="E56">
        <f t="shared" si="0"/>
        <v>2732.5840999999996</v>
      </c>
    </row>
    <row r="57" spans="1:5" x14ac:dyDescent="0.2">
      <c r="A57" s="1" t="s">
        <v>179</v>
      </c>
      <c r="B57" s="41" t="s">
        <v>180</v>
      </c>
      <c r="C57">
        <v>97580</v>
      </c>
      <c r="D57">
        <v>15.41</v>
      </c>
      <c r="E57">
        <f t="shared" si="0"/>
        <v>1503.7078000000001</v>
      </c>
    </row>
    <row r="58" spans="1:5" x14ac:dyDescent="0.2">
      <c r="A58" s="1" t="s">
        <v>103</v>
      </c>
      <c r="B58" s="41" t="s">
        <v>104</v>
      </c>
      <c r="C58">
        <v>204108</v>
      </c>
      <c r="D58">
        <v>31</v>
      </c>
      <c r="E58">
        <f t="shared" si="0"/>
        <v>6327.348</v>
      </c>
    </row>
    <row r="59" spans="1:5" x14ac:dyDescent="0.2">
      <c r="A59" s="1" t="s">
        <v>189</v>
      </c>
      <c r="B59" s="41" t="s">
        <v>190</v>
      </c>
      <c r="C59">
        <v>48346</v>
      </c>
      <c r="D59">
        <v>106.91</v>
      </c>
      <c r="E59">
        <f t="shared" si="0"/>
        <v>5168.6708599999993</v>
      </c>
    </row>
    <row r="60" spans="1:5" x14ac:dyDescent="0.2">
      <c r="A60" s="1" t="s">
        <v>1095</v>
      </c>
      <c r="B60" s="41" t="s">
        <v>1096</v>
      </c>
      <c r="C60">
        <v>293</v>
      </c>
      <c r="D60">
        <v>385.99</v>
      </c>
      <c r="E60">
        <f t="shared" si="0"/>
        <v>113.09507000000001</v>
      </c>
    </row>
    <row r="61" spans="1:5" x14ac:dyDescent="0.2">
      <c r="A61" s="1" t="s">
        <v>1097</v>
      </c>
      <c r="B61" s="41" t="s">
        <v>1098</v>
      </c>
      <c r="C61">
        <v>206170</v>
      </c>
      <c r="D61">
        <v>5.23</v>
      </c>
      <c r="E61">
        <f t="shared" si="0"/>
        <v>1078.2691</v>
      </c>
    </row>
    <row r="62" spans="1:5" x14ac:dyDescent="0.2">
      <c r="A62" s="1" t="s">
        <v>1099</v>
      </c>
      <c r="B62" s="41" t="s">
        <v>1100</v>
      </c>
      <c r="C62">
        <v>1941</v>
      </c>
      <c r="D62">
        <v>224.91</v>
      </c>
      <c r="E62">
        <f t="shared" si="0"/>
        <v>436.55031000000002</v>
      </c>
    </row>
    <row r="63" spans="1:5" x14ac:dyDescent="0.2">
      <c r="A63" s="1" t="s">
        <v>1101</v>
      </c>
      <c r="B63" s="41" t="s">
        <v>1102</v>
      </c>
      <c r="C63">
        <v>70746</v>
      </c>
      <c r="D63">
        <v>5.32</v>
      </c>
      <c r="E63">
        <f t="shared" si="0"/>
        <v>376.36872000000005</v>
      </c>
    </row>
    <row r="64" spans="1:5" x14ac:dyDescent="0.2">
      <c r="A64" s="1" t="s">
        <v>1103</v>
      </c>
      <c r="B64" s="41" t="s">
        <v>1104</v>
      </c>
      <c r="C64">
        <v>74021</v>
      </c>
      <c r="D64">
        <v>164.89</v>
      </c>
      <c r="E64">
        <f t="shared" si="0"/>
        <v>12205.322689999999</v>
      </c>
    </row>
    <row r="65" spans="1:5" x14ac:dyDescent="0.2">
      <c r="A65" s="1" t="s">
        <v>275</v>
      </c>
      <c r="B65" s="41" t="s">
        <v>276</v>
      </c>
      <c r="C65">
        <v>8342</v>
      </c>
      <c r="D65">
        <v>287.60000000000002</v>
      </c>
      <c r="E65">
        <f t="shared" si="0"/>
        <v>2399.1592000000001</v>
      </c>
    </row>
    <row r="66" spans="1:5" x14ac:dyDescent="0.2">
      <c r="A66" s="1" t="s">
        <v>1105</v>
      </c>
      <c r="B66" s="41" t="s">
        <v>1106</v>
      </c>
      <c r="C66">
        <v>9454</v>
      </c>
      <c r="D66">
        <v>112.76</v>
      </c>
      <c r="E66">
        <f t="shared" si="0"/>
        <v>1066.03304</v>
      </c>
    </row>
    <row r="67" spans="1:5" x14ac:dyDescent="0.2">
      <c r="A67" s="1" t="s">
        <v>1107</v>
      </c>
      <c r="B67" s="41" t="s">
        <v>1108</v>
      </c>
      <c r="C67">
        <v>3308</v>
      </c>
      <c r="D67">
        <v>238.61</v>
      </c>
      <c r="E67">
        <f t="shared" ref="E67:E127" si="1">C67*D67/1000</f>
        <v>789.32187999999996</v>
      </c>
    </row>
    <row r="68" spans="1:5" x14ac:dyDescent="0.2">
      <c r="A68" s="1" t="s">
        <v>211</v>
      </c>
      <c r="B68" s="41" t="s">
        <v>212</v>
      </c>
      <c r="C68">
        <v>318051</v>
      </c>
      <c r="D68">
        <v>15.08</v>
      </c>
      <c r="E68">
        <f t="shared" si="1"/>
        <v>4796.2090799999996</v>
      </c>
    </row>
    <row r="69" spans="1:5" x14ac:dyDescent="0.2">
      <c r="A69" s="1" t="s">
        <v>143</v>
      </c>
      <c r="B69" s="41" t="s">
        <v>144</v>
      </c>
      <c r="C69">
        <v>243917</v>
      </c>
      <c r="D69">
        <v>36.18</v>
      </c>
      <c r="E69">
        <f t="shared" si="1"/>
        <v>8824.9170599999998</v>
      </c>
    </row>
    <row r="70" spans="1:5" x14ac:dyDescent="0.2">
      <c r="A70" s="1" t="s">
        <v>221</v>
      </c>
      <c r="B70" s="41" t="s">
        <v>222</v>
      </c>
      <c r="C70">
        <v>178348</v>
      </c>
      <c r="D70">
        <v>65.540000000000006</v>
      </c>
      <c r="E70">
        <f t="shared" si="1"/>
        <v>11688.927920000002</v>
      </c>
    </row>
    <row r="71" spans="1:5" x14ac:dyDescent="0.2">
      <c r="A71" s="1" t="s">
        <v>279</v>
      </c>
      <c r="B71" s="41" t="s">
        <v>280</v>
      </c>
      <c r="C71">
        <v>23647</v>
      </c>
      <c r="D71">
        <v>117.46</v>
      </c>
      <c r="E71">
        <f t="shared" si="1"/>
        <v>2777.5766199999998</v>
      </c>
    </row>
    <row r="72" spans="1:5" x14ac:dyDescent="0.2">
      <c r="A72" s="1" t="s">
        <v>1109</v>
      </c>
      <c r="B72" s="41" t="s">
        <v>1110</v>
      </c>
      <c r="C72">
        <v>592</v>
      </c>
      <c r="D72">
        <v>170.23</v>
      </c>
      <c r="E72">
        <f t="shared" si="1"/>
        <v>100.77615999999999</v>
      </c>
    </row>
    <row r="73" spans="1:5" x14ac:dyDescent="0.2">
      <c r="A73" s="1" t="s">
        <v>1111</v>
      </c>
      <c r="B73" s="41" t="s">
        <v>1112</v>
      </c>
      <c r="C73">
        <v>238</v>
      </c>
      <c r="D73">
        <v>233.92</v>
      </c>
      <c r="E73">
        <f t="shared" si="1"/>
        <v>55.672959999999996</v>
      </c>
    </row>
    <row r="74" spans="1:5" x14ac:dyDescent="0.2">
      <c r="A74" s="1" t="s">
        <v>293</v>
      </c>
      <c r="B74" s="41" t="s">
        <v>294</v>
      </c>
      <c r="C74">
        <v>160</v>
      </c>
      <c r="D74">
        <v>55.6</v>
      </c>
      <c r="E74">
        <f t="shared" si="1"/>
        <v>8.8960000000000008</v>
      </c>
    </row>
    <row r="75" spans="1:5" x14ac:dyDescent="0.2">
      <c r="A75" s="1" t="s">
        <v>1113</v>
      </c>
      <c r="B75" s="41" t="s">
        <v>1114</v>
      </c>
      <c r="C75">
        <v>51476</v>
      </c>
      <c r="D75">
        <v>92.74</v>
      </c>
      <c r="E75">
        <f t="shared" si="1"/>
        <v>4773.8842399999994</v>
      </c>
    </row>
    <row r="76" spans="1:5" x14ac:dyDescent="0.2">
      <c r="A76" s="1" t="s">
        <v>1115</v>
      </c>
      <c r="B76" s="41" t="s">
        <v>1116</v>
      </c>
      <c r="C76">
        <v>2410</v>
      </c>
      <c r="D76">
        <v>9.8800000000000008</v>
      </c>
      <c r="E76">
        <f t="shared" si="1"/>
        <v>23.810800000000004</v>
      </c>
    </row>
    <row r="77" spans="1:5" x14ac:dyDescent="0.2">
      <c r="A77" s="1" t="s">
        <v>245</v>
      </c>
      <c r="B77" s="41" t="s">
        <v>246</v>
      </c>
      <c r="C77">
        <v>24130</v>
      </c>
      <c r="D77">
        <v>17.93</v>
      </c>
      <c r="E77">
        <f t="shared" si="1"/>
        <v>432.65089999999998</v>
      </c>
    </row>
    <row r="78" spans="1:5" x14ac:dyDescent="0.2">
      <c r="A78" s="1" t="s">
        <v>185</v>
      </c>
      <c r="B78" s="41" t="s">
        <v>186</v>
      </c>
      <c r="C78">
        <v>4505</v>
      </c>
      <c r="D78">
        <v>41.8</v>
      </c>
      <c r="E78">
        <f t="shared" si="1"/>
        <v>188.309</v>
      </c>
    </row>
    <row r="79" spans="1:5" x14ac:dyDescent="0.2">
      <c r="A79" s="1" t="s">
        <v>1117</v>
      </c>
      <c r="B79" s="41" t="s">
        <v>1118</v>
      </c>
      <c r="C79">
        <v>69189</v>
      </c>
      <c r="D79">
        <v>164.89</v>
      </c>
      <c r="E79">
        <f t="shared" si="1"/>
        <v>11408.574209999999</v>
      </c>
    </row>
    <row r="80" spans="1:5" x14ac:dyDescent="0.2">
      <c r="A80" s="1" t="s">
        <v>1119</v>
      </c>
      <c r="B80" s="41" t="s">
        <v>1120</v>
      </c>
      <c r="C80">
        <v>1105</v>
      </c>
      <c r="D80">
        <v>63.69</v>
      </c>
      <c r="E80">
        <f t="shared" si="1"/>
        <v>70.377449999999996</v>
      </c>
    </row>
    <row r="81" spans="1:5" x14ac:dyDescent="0.2">
      <c r="A81" s="1" t="s">
        <v>1121</v>
      </c>
      <c r="B81" s="41" t="s">
        <v>1122</v>
      </c>
      <c r="C81">
        <v>95629</v>
      </c>
      <c r="D81">
        <v>18.649999999999999</v>
      </c>
      <c r="E81">
        <f t="shared" si="1"/>
        <v>1783.4808499999999</v>
      </c>
    </row>
    <row r="82" spans="1:5" x14ac:dyDescent="0.2">
      <c r="A82" s="1" t="s">
        <v>1123</v>
      </c>
      <c r="B82" s="41" t="s">
        <v>1124</v>
      </c>
      <c r="C82">
        <v>782</v>
      </c>
      <c r="D82">
        <v>63.69</v>
      </c>
      <c r="E82">
        <f t="shared" si="1"/>
        <v>49.805579999999999</v>
      </c>
    </row>
    <row r="83" spans="1:5" x14ac:dyDescent="0.2">
      <c r="A83" s="1" t="s">
        <v>277</v>
      </c>
      <c r="B83" s="41" t="s">
        <v>278</v>
      </c>
      <c r="C83">
        <v>2313</v>
      </c>
      <c r="D83">
        <v>50.2</v>
      </c>
      <c r="E83">
        <f t="shared" si="1"/>
        <v>116.1126</v>
      </c>
    </row>
    <row r="84" spans="1:5" x14ac:dyDescent="0.2">
      <c r="A84" s="1" t="s">
        <v>287</v>
      </c>
      <c r="B84" s="41" t="s">
        <v>288</v>
      </c>
      <c r="C84">
        <v>11754</v>
      </c>
      <c r="D84">
        <v>25.87</v>
      </c>
      <c r="E84">
        <f t="shared" si="1"/>
        <v>304.07598000000002</v>
      </c>
    </row>
    <row r="85" spans="1:5" x14ac:dyDescent="0.2">
      <c r="A85" s="1" t="s">
        <v>1125</v>
      </c>
      <c r="B85" s="41" t="s">
        <v>1126</v>
      </c>
      <c r="C85">
        <v>18</v>
      </c>
      <c r="D85">
        <v>138.55000000000001</v>
      </c>
      <c r="E85">
        <f t="shared" si="1"/>
        <v>2.4939</v>
      </c>
    </row>
    <row r="86" spans="1:5" x14ac:dyDescent="0.2">
      <c r="A86" s="1" t="s">
        <v>1127</v>
      </c>
      <c r="B86" s="41" t="s">
        <v>1128</v>
      </c>
      <c r="C86">
        <v>13</v>
      </c>
      <c r="D86">
        <v>33.770000000000003</v>
      </c>
      <c r="E86">
        <f t="shared" si="1"/>
        <v>0.43901000000000007</v>
      </c>
    </row>
    <row r="87" spans="1:5" x14ac:dyDescent="0.2">
      <c r="A87" s="1" t="s">
        <v>353</v>
      </c>
      <c r="B87" s="41" t="s">
        <v>354</v>
      </c>
      <c r="C87">
        <v>135</v>
      </c>
      <c r="D87">
        <v>51.21</v>
      </c>
      <c r="E87">
        <f t="shared" si="1"/>
        <v>6.9133500000000003</v>
      </c>
    </row>
    <row r="88" spans="1:5" x14ac:dyDescent="0.2">
      <c r="A88" s="1" t="s">
        <v>355</v>
      </c>
      <c r="B88" s="41" t="s">
        <v>356</v>
      </c>
      <c r="C88">
        <v>38100</v>
      </c>
      <c r="D88">
        <v>83.03</v>
      </c>
      <c r="E88">
        <f t="shared" si="1"/>
        <v>3163.4430000000002</v>
      </c>
    </row>
    <row r="89" spans="1:5" x14ac:dyDescent="0.2">
      <c r="A89" s="1" t="s">
        <v>1129</v>
      </c>
      <c r="B89" s="41" t="s">
        <v>1130</v>
      </c>
      <c r="C89">
        <v>2800</v>
      </c>
      <c r="D89">
        <v>520.21</v>
      </c>
      <c r="E89">
        <f t="shared" si="1"/>
        <v>1456.588</v>
      </c>
    </row>
    <row r="90" spans="1:5" x14ac:dyDescent="0.2">
      <c r="A90" s="1" t="s">
        <v>43</v>
      </c>
      <c r="B90" s="41" t="s">
        <v>44</v>
      </c>
      <c r="C90">
        <v>1</v>
      </c>
      <c r="D90">
        <v>46.9</v>
      </c>
      <c r="E90">
        <f t="shared" si="1"/>
        <v>4.6899999999999997E-2</v>
      </c>
    </row>
    <row r="91" spans="1:5" x14ac:dyDescent="0.2">
      <c r="A91" s="1" t="s">
        <v>49</v>
      </c>
      <c r="B91" s="41" t="s">
        <v>50</v>
      </c>
      <c r="C91">
        <v>30</v>
      </c>
      <c r="D91">
        <v>83.245999999999995</v>
      </c>
      <c r="E91">
        <f t="shared" si="1"/>
        <v>2.4973799999999997</v>
      </c>
    </row>
    <row r="92" spans="1:5" x14ac:dyDescent="0.2">
      <c r="A92" s="1" t="s">
        <v>405</v>
      </c>
      <c r="B92" s="41" t="s">
        <v>406</v>
      </c>
      <c r="C92">
        <v>1300</v>
      </c>
      <c r="D92">
        <v>38.963999999999999</v>
      </c>
      <c r="E92">
        <f t="shared" si="1"/>
        <v>50.653199999999998</v>
      </c>
    </row>
    <row r="93" spans="1:5" x14ac:dyDescent="0.2">
      <c r="A93" s="1" t="s">
        <v>187</v>
      </c>
      <c r="B93" s="41" t="s">
        <v>188</v>
      </c>
      <c r="C93">
        <v>180</v>
      </c>
      <c r="D93">
        <v>42.929000000000002</v>
      </c>
      <c r="E93">
        <f t="shared" si="1"/>
        <v>7.72722</v>
      </c>
    </row>
    <row r="94" spans="1:5" x14ac:dyDescent="0.2">
      <c r="A94" s="1" t="s">
        <v>101</v>
      </c>
      <c r="B94" s="41" t="s">
        <v>102</v>
      </c>
      <c r="C94">
        <v>1200</v>
      </c>
      <c r="D94">
        <v>51.066000000000003</v>
      </c>
      <c r="E94">
        <f t="shared" si="1"/>
        <v>61.279200000000003</v>
      </c>
    </row>
    <row r="95" spans="1:5" x14ac:dyDescent="0.2">
      <c r="A95" s="1" t="s">
        <v>151</v>
      </c>
      <c r="B95" s="41" t="s">
        <v>152</v>
      </c>
      <c r="C95">
        <v>23900</v>
      </c>
      <c r="D95">
        <v>64.89</v>
      </c>
      <c r="E95">
        <f t="shared" si="1"/>
        <v>1550.8710000000001</v>
      </c>
    </row>
    <row r="96" spans="1:5" x14ac:dyDescent="0.2">
      <c r="A96" s="1" t="s">
        <v>95</v>
      </c>
      <c r="B96" s="41" t="s">
        <v>96</v>
      </c>
      <c r="C96">
        <v>350</v>
      </c>
      <c r="D96">
        <v>343.28</v>
      </c>
      <c r="E96">
        <f t="shared" si="1"/>
        <v>120.14799999999998</v>
      </c>
    </row>
    <row r="97" spans="1:5" x14ac:dyDescent="0.2">
      <c r="A97" s="1" t="s">
        <v>69</v>
      </c>
      <c r="B97" s="41" t="s">
        <v>70</v>
      </c>
      <c r="C97">
        <v>58490</v>
      </c>
      <c r="D97">
        <v>96.863</v>
      </c>
      <c r="E97">
        <f t="shared" si="1"/>
        <v>5665.5168700000004</v>
      </c>
    </row>
    <row r="98" spans="1:5" x14ac:dyDescent="0.2">
      <c r="A98" s="1" t="s">
        <v>343</v>
      </c>
      <c r="B98" s="41" t="s">
        <v>344</v>
      </c>
      <c r="C98">
        <v>250</v>
      </c>
      <c r="D98">
        <v>90.71</v>
      </c>
      <c r="E98">
        <f t="shared" si="1"/>
        <v>22.677499999999998</v>
      </c>
    </row>
    <row r="99" spans="1:5" x14ac:dyDescent="0.2">
      <c r="A99" s="1" t="s">
        <v>345</v>
      </c>
      <c r="B99" s="41" t="s">
        <v>346</v>
      </c>
      <c r="C99">
        <v>70</v>
      </c>
      <c r="D99">
        <v>98.61</v>
      </c>
      <c r="E99">
        <f t="shared" si="1"/>
        <v>6.9026999999999994</v>
      </c>
    </row>
    <row r="100" spans="1:5" x14ac:dyDescent="0.2">
      <c r="A100" s="1" t="s">
        <v>47</v>
      </c>
      <c r="B100" s="41" t="s">
        <v>48</v>
      </c>
      <c r="C100">
        <v>2607</v>
      </c>
      <c r="D100">
        <v>107.26</v>
      </c>
      <c r="E100">
        <f t="shared" si="1"/>
        <v>279.62682000000001</v>
      </c>
    </row>
    <row r="101" spans="1:5" x14ac:dyDescent="0.2">
      <c r="A101" s="1" t="s">
        <v>347</v>
      </c>
      <c r="B101" s="41" t="s">
        <v>348</v>
      </c>
      <c r="C101">
        <v>120</v>
      </c>
      <c r="D101">
        <v>114.41</v>
      </c>
      <c r="E101">
        <f t="shared" si="1"/>
        <v>13.729199999999999</v>
      </c>
    </row>
    <row r="102" spans="1:5" x14ac:dyDescent="0.2">
      <c r="A102" s="1" t="s">
        <v>13</v>
      </c>
      <c r="B102" s="41" t="s">
        <v>14</v>
      </c>
      <c r="C102">
        <v>10586</v>
      </c>
      <c r="D102">
        <v>244</v>
      </c>
      <c r="E102">
        <f t="shared" si="1"/>
        <v>2582.9839999999999</v>
      </c>
    </row>
    <row r="103" spans="1:5" x14ac:dyDescent="0.2">
      <c r="A103" s="1" t="s">
        <v>15</v>
      </c>
      <c r="B103" s="41" t="s">
        <v>16</v>
      </c>
      <c r="C103">
        <v>8839</v>
      </c>
      <c r="D103">
        <v>340</v>
      </c>
      <c r="E103">
        <f t="shared" si="1"/>
        <v>3005.26</v>
      </c>
    </row>
    <row r="104" spans="1:5" x14ac:dyDescent="0.2">
      <c r="A104" s="1" t="s">
        <v>183</v>
      </c>
      <c r="B104" s="41" t="s">
        <v>184</v>
      </c>
      <c r="C104">
        <v>1740</v>
      </c>
      <c r="D104">
        <v>327</v>
      </c>
      <c r="E104">
        <f t="shared" si="1"/>
        <v>568.98</v>
      </c>
    </row>
    <row r="105" spans="1:5" x14ac:dyDescent="0.2">
      <c r="A105" s="1" t="s">
        <v>17</v>
      </c>
      <c r="B105" s="41" t="s">
        <v>18</v>
      </c>
      <c r="C105">
        <v>6620</v>
      </c>
      <c r="D105">
        <v>165</v>
      </c>
      <c r="E105">
        <f t="shared" si="1"/>
        <v>1092.3</v>
      </c>
    </row>
    <row r="106" spans="1:5" x14ac:dyDescent="0.2">
      <c r="A106" s="1" t="s">
        <v>219</v>
      </c>
      <c r="B106" s="41" t="s">
        <v>220</v>
      </c>
      <c r="C106">
        <v>150</v>
      </c>
      <c r="D106">
        <v>303.98</v>
      </c>
      <c r="E106">
        <f t="shared" si="1"/>
        <v>45.597000000000001</v>
      </c>
    </row>
    <row r="107" spans="1:5" x14ac:dyDescent="0.2">
      <c r="A107" s="1" t="s">
        <v>81</v>
      </c>
      <c r="B107" s="41" t="s">
        <v>82</v>
      </c>
      <c r="C107">
        <v>770</v>
      </c>
      <c r="D107">
        <v>328.64</v>
      </c>
      <c r="E107">
        <f t="shared" si="1"/>
        <v>253.05279999999999</v>
      </c>
    </row>
    <row r="108" spans="1:5" x14ac:dyDescent="0.2">
      <c r="A108" s="1" t="s">
        <v>73</v>
      </c>
      <c r="B108" s="41" t="s">
        <v>74</v>
      </c>
      <c r="C108">
        <v>2338</v>
      </c>
      <c r="D108">
        <v>180.36</v>
      </c>
      <c r="E108">
        <f t="shared" si="1"/>
        <v>421.68168000000003</v>
      </c>
    </row>
    <row r="109" spans="1:5" x14ac:dyDescent="0.2">
      <c r="A109" s="1" t="s">
        <v>35</v>
      </c>
      <c r="B109" s="41" t="s">
        <v>36</v>
      </c>
      <c r="C109">
        <v>2100</v>
      </c>
      <c r="D109">
        <v>204.11</v>
      </c>
      <c r="E109">
        <f t="shared" si="1"/>
        <v>428.63099999999997</v>
      </c>
    </row>
    <row r="110" spans="1:5" x14ac:dyDescent="0.2">
      <c r="A110" s="1" t="s">
        <v>53</v>
      </c>
      <c r="B110" s="41" t="s">
        <v>54</v>
      </c>
      <c r="C110">
        <v>8</v>
      </c>
      <c r="D110">
        <v>229.68</v>
      </c>
      <c r="E110">
        <f t="shared" si="1"/>
        <v>1.83744</v>
      </c>
    </row>
    <row r="111" spans="1:5" x14ac:dyDescent="0.2">
      <c r="A111" s="1" t="s">
        <v>1</v>
      </c>
      <c r="B111" s="41" t="s">
        <v>2</v>
      </c>
      <c r="C111">
        <v>2100</v>
      </c>
      <c r="D111">
        <v>224.72</v>
      </c>
      <c r="E111">
        <f t="shared" si="1"/>
        <v>471.91199999999998</v>
      </c>
    </row>
    <row r="112" spans="1:5" x14ac:dyDescent="0.2">
      <c r="A112" s="1" t="s">
        <v>5</v>
      </c>
      <c r="B112" s="41" t="s">
        <v>6</v>
      </c>
      <c r="C112">
        <v>390</v>
      </c>
      <c r="D112">
        <v>435.32</v>
      </c>
      <c r="E112">
        <f t="shared" si="1"/>
        <v>169.7748</v>
      </c>
    </row>
    <row r="113" spans="1:5" x14ac:dyDescent="0.2">
      <c r="A113" s="1" t="s">
        <v>227</v>
      </c>
      <c r="B113" s="41" t="s">
        <v>228</v>
      </c>
      <c r="C113">
        <v>475</v>
      </c>
      <c r="D113">
        <v>489.96</v>
      </c>
      <c r="E113">
        <f t="shared" si="1"/>
        <v>232.73099999999999</v>
      </c>
    </row>
    <row r="114" spans="1:5" x14ac:dyDescent="0.2">
      <c r="A114" s="1" t="s">
        <v>213</v>
      </c>
      <c r="B114" s="41" t="s">
        <v>214</v>
      </c>
      <c r="C114">
        <v>400</v>
      </c>
      <c r="D114">
        <v>375.89</v>
      </c>
      <c r="E114">
        <f t="shared" si="1"/>
        <v>150.35599999999999</v>
      </c>
    </row>
    <row r="115" spans="1:5" x14ac:dyDescent="0.2">
      <c r="A115" s="1" t="s">
        <v>59</v>
      </c>
      <c r="B115" s="41" t="s">
        <v>60</v>
      </c>
      <c r="C115">
        <v>1</v>
      </c>
      <c r="D115">
        <v>411</v>
      </c>
      <c r="E115">
        <f t="shared" si="1"/>
        <v>0.41099999999999998</v>
      </c>
    </row>
    <row r="116" spans="1:5" x14ac:dyDescent="0.2">
      <c r="A116" s="1" t="s">
        <v>131</v>
      </c>
      <c r="B116" s="41" t="s">
        <v>132</v>
      </c>
      <c r="C116">
        <v>205</v>
      </c>
      <c r="D116" s="42">
        <v>1035</v>
      </c>
      <c r="E116">
        <f t="shared" si="1"/>
        <v>212.17500000000001</v>
      </c>
    </row>
    <row r="117" spans="1:5" x14ac:dyDescent="0.2">
      <c r="A117" s="1" t="s">
        <v>145</v>
      </c>
      <c r="B117" s="41" t="s">
        <v>146</v>
      </c>
      <c r="C117">
        <v>290</v>
      </c>
      <c r="D117">
        <v>715.1</v>
      </c>
      <c r="E117">
        <f t="shared" si="1"/>
        <v>207.37899999999999</v>
      </c>
    </row>
    <row r="118" spans="1:5" x14ac:dyDescent="0.2">
      <c r="A118" s="1" t="s">
        <v>3</v>
      </c>
      <c r="B118" s="41" t="s">
        <v>4</v>
      </c>
      <c r="C118">
        <v>10</v>
      </c>
      <c r="D118">
        <v>603.14</v>
      </c>
      <c r="E118">
        <f t="shared" si="1"/>
        <v>6.0313999999999997</v>
      </c>
    </row>
    <row r="119" spans="1:5" x14ac:dyDescent="0.2">
      <c r="A119" s="1" t="s">
        <v>291</v>
      </c>
      <c r="B119" s="41" t="s">
        <v>292</v>
      </c>
      <c r="C119">
        <v>4600</v>
      </c>
      <c r="D119">
        <v>86.769000000000005</v>
      </c>
      <c r="E119">
        <f t="shared" si="1"/>
        <v>399.13740000000001</v>
      </c>
    </row>
    <row r="120" spans="1:5" x14ac:dyDescent="0.2">
      <c r="A120" s="1" t="s">
        <v>421</v>
      </c>
      <c r="B120" s="41" t="s">
        <v>422</v>
      </c>
      <c r="C120">
        <v>300</v>
      </c>
      <c r="D120">
        <v>252.1</v>
      </c>
      <c r="E120">
        <f t="shared" si="1"/>
        <v>75.63</v>
      </c>
    </row>
    <row r="121" spans="1:5" x14ac:dyDescent="0.2">
      <c r="A121" s="1" t="s">
        <v>271</v>
      </c>
      <c r="B121" s="41" t="s">
        <v>272</v>
      </c>
      <c r="C121">
        <v>30</v>
      </c>
      <c r="D121">
        <v>394</v>
      </c>
      <c r="E121">
        <f t="shared" si="1"/>
        <v>11.82</v>
      </c>
    </row>
    <row r="122" spans="1:5" x14ac:dyDescent="0.2">
      <c r="A122" s="1" t="s">
        <v>193</v>
      </c>
      <c r="B122" s="41" t="s">
        <v>194</v>
      </c>
      <c r="C122">
        <v>25</v>
      </c>
      <c r="D122">
        <v>377.66</v>
      </c>
      <c r="E122">
        <f t="shared" si="1"/>
        <v>9.4414999999999996</v>
      </c>
    </row>
    <row r="123" spans="1:5" x14ac:dyDescent="0.2">
      <c r="A123" s="1" t="s">
        <v>203</v>
      </c>
      <c r="B123" s="41" t="s">
        <v>204</v>
      </c>
      <c r="C123">
        <v>29</v>
      </c>
      <c r="D123">
        <v>670.6</v>
      </c>
      <c r="E123">
        <f t="shared" si="1"/>
        <v>19.447400000000002</v>
      </c>
    </row>
    <row r="124" spans="1:5" x14ac:dyDescent="0.2">
      <c r="A124" s="1" t="s">
        <v>285</v>
      </c>
      <c r="B124" s="41" t="s">
        <v>286</v>
      </c>
      <c r="C124">
        <v>415</v>
      </c>
      <c r="D124">
        <v>702.31</v>
      </c>
      <c r="E124">
        <f t="shared" si="1"/>
        <v>291.45864999999998</v>
      </c>
    </row>
    <row r="125" spans="1:5" x14ac:dyDescent="0.2">
      <c r="A125" s="1" t="s">
        <v>283</v>
      </c>
      <c r="B125" s="41" t="s">
        <v>284</v>
      </c>
      <c r="C125">
        <v>25</v>
      </c>
      <c r="D125">
        <v>945.56</v>
      </c>
      <c r="E125">
        <f t="shared" si="1"/>
        <v>23.638999999999999</v>
      </c>
    </row>
    <row r="126" spans="1:5" x14ac:dyDescent="0.2">
      <c r="A126" s="1" t="s">
        <v>205</v>
      </c>
      <c r="B126" s="41" t="s">
        <v>206</v>
      </c>
      <c r="C126">
        <v>35</v>
      </c>
      <c r="D126" s="42">
        <v>1257.2</v>
      </c>
      <c r="E126">
        <f t="shared" si="1"/>
        <v>44.002000000000002</v>
      </c>
    </row>
    <row r="127" spans="1:5" x14ac:dyDescent="0.2">
      <c r="A127" s="1" t="s">
        <v>147</v>
      </c>
      <c r="B127" s="41" t="s">
        <v>148</v>
      </c>
      <c r="C127">
        <v>140750</v>
      </c>
      <c r="D127">
        <v>28.132000000000001</v>
      </c>
      <c r="E127">
        <f t="shared" si="1"/>
        <v>3959.5790000000002</v>
      </c>
    </row>
    <row r="128" spans="1:5" x14ac:dyDescent="0.2">
      <c r="A128" s="1" t="s">
        <v>45</v>
      </c>
      <c r="B128" s="41" t="s">
        <v>46</v>
      </c>
      <c r="C128">
        <v>42</v>
      </c>
      <c r="D128">
        <v>670.6</v>
      </c>
      <c r="E128">
        <f t="shared" ref="E128:E169" si="2">C128*D128/1000</f>
        <v>28.165200000000002</v>
      </c>
    </row>
    <row r="129" spans="1:5" x14ac:dyDescent="0.2">
      <c r="A129" s="1" t="s">
        <v>31</v>
      </c>
      <c r="B129" s="41" t="s">
        <v>32</v>
      </c>
      <c r="C129">
        <v>3050</v>
      </c>
      <c r="D129">
        <v>280.14999999999998</v>
      </c>
      <c r="E129">
        <f t="shared" si="2"/>
        <v>854.45749999999987</v>
      </c>
    </row>
    <row r="130" spans="1:5" x14ac:dyDescent="0.2">
      <c r="A130" s="1" t="s">
        <v>177</v>
      </c>
      <c r="B130" s="41" t="s">
        <v>178</v>
      </c>
      <c r="C130">
        <v>1600</v>
      </c>
      <c r="D130">
        <v>157</v>
      </c>
      <c r="E130">
        <f t="shared" si="2"/>
        <v>251.2</v>
      </c>
    </row>
    <row r="131" spans="1:5" x14ac:dyDescent="0.2">
      <c r="A131" s="1" t="s">
        <v>119</v>
      </c>
      <c r="B131" s="41" t="s">
        <v>120</v>
      </c>
      <c r="C131">
        <v>5040</v>
      </c>
      <c r="D131">
        <v>327.77</v>
      </c>
      <c r="E131">
        <f t="shared" si="2"/>
        <v>1651.9607999999998</v>
      </c>
    </row>
    <row r="132" spans="1:5" x14ac:dyDescent="0.2">
      <c r="A132" s="1" t="s">
        <v>121</v>
      </c>
      <c r="B132" s="41" t="s">
        <v>122</v>
      </c>
      <c r="C132">
        <v>3635</v>
      </c>
      <c r="D132">
        <v>345.53</v>
      </c>
      <c r="E132">
        <f t="shared" si="2"/>
        <v>1256.0015499999997</v>
      </c>
    </row>
    <row r="133" spans="1:5" x14ac:dyDescent="0.2">
      <c r="A133" s="1" t="s">
        <v>123</v>
      </c>
      <c r="B133" s="41" t="s">
        <v>124</v>
      </c>
      <c r="C133">
        <v>2740</v>
      </c>
      <c r="D133">
        <v>363.29</v>
      </c>
      <c r="E133">
        <f t="shared" si="2"/>
        <v>995.41460000000006</v>
      </c>
    </row>
    <row r="134" spans="1:5" x14ac:dyDescent="0.2">
      <c r="A134" s="1" t="s">
        <v>125</v>
      </c>
      <c r="B134" s="41" t="s">
        <v>126</v>
      </c>
      <c r="C134">
        <v>1060</v>
      </c>
      <c r="D134">
        <v>381.04</v>
      </c>
      <c r="E134">
        <f t="shared" si="2"/>
        <v>403.9024</v>
      </c>
    </row>
    <row r="135" spans="1:5" x14ac:dyDescent="0.2">
      <c r="A135" s="1" t="s">
        <v>127</v>
      </c>
      <c r="B135" s="41" t="s">
        <v>128</v>
      </c>
      <c r="C135">
        <v>1025</v>
      </c>
      <c r="D135">
        <v>398.8</v>
      </c>
      <c r="E135">
        <f t="shared" si="2"/>
        <v>408.77</v>
      </c>
    </row>
    <row r="136" spans="1:5" x14ac:dyDescent="0.2">
      <c r="A136" s="1" t="s">
        <v>129</v>
      </c>
      <c r="B136" s="41" t="s">
        <v>130</v>
      </c>
      <c r="C136">
        <v>1525</v>
      </c>
      <c r="D136">
        <v>434.31</v>
      </c>
      <c r="E136">
        <f t="shared" si="2"/>
        <v>662.32275000000004</v>
      </c>
    </row>
    <row r="137" spans="1:5" x14ac:dyDescent="0.2">
      <c r="A137" s="1" t="s">
        <v>21</v>
      </c>
      <c r="B137" s="41" t="s">
        <v>22</v>
      </c>
      <c r="C137">
        <v>790</v>
      </c>
      <c r="D137">
        <v>555.57000000000005</v>
      </c>
      <c r="E137">
        <f t="shared" si="2"/>
        <v>438.90030000000007</v>
      </c>
    </row>
    <row r="138" spans="1:5" x14ac:dyDescent="0.2">
      <c r="A138" s="1" t="s">
        <v>135</v>
      </c>
      <c r="B138" s="41" t="s">
        <v>136</v>
      </c>
      <c r="C138">
        <v>1720</v>
      </c>
      <c r="D138">
        <v>600.52</v>
      </c>
      <c r="E138">
        <f t="shared" si="2"/>
        <v>1032.8944000000001</v>
      </c>
    </row>
    <row r="139" spans="1:5" x14ac:dyDescent="0.2">
      <c r="A139" s="1" t="s">
        <v>457</v>
      </c>
      <c r="B139" s="41" t="s">
        <v>458</v>
      </c>
      <c r="C139">
        <v>1322</v>
      </c>
      <c r="D139">
        <v>976</v>
      </c>
      <c r="E139">
        <f t="shared" si="2"/>
        <v>1290.2719999999999</v>
      </c>
    </row>
    <row r="140" spans="1:5" x14ac:dyDescent="0.2">
      <c r="A140" s="1" t="s">
        <v>169</v>
      </c>
      <c r="B140" s="41" t="s">
        <v>170</v>
      </c>
      <c r="C140">
        <v>1050</v>
      </c>
      <c r="D140">
        <v>78.8</v>
      </c>
      <c r="E140">
        <f t="shared" si="2"/>
        <v>82.74</v>
      </c>
    </row>
    <row r="141" spans="1:5" x14ac:dyDescent="0.2">
      <c r="A141" s="1" t="s">
        <v>251</v>
      </c>
      <c r="B141" s="41" t="s">
        <v>252</v>
      </c>
      <c r="C141">
        <v>48</v>
      </c>
      <c r="D141">
        <v>108.11</v>
      </c>
      <c r="E141">
        <f t="shared" si="2"/>
        <v>5.1892800000000001</v>
      </c>
    </row>
    <row r="142" spans="1:5" x14ac:dyDescent="0.2">
      <c r="A142" s="1" t="s">
        <v>237</v>
      </c>
      <c r="B142" s="41" t="s">
        <v>238</v>
      </c>
      <c r="C142">
        <v>8517</v>
      </c>
      <c r="D142">
        <v>205.33</v>
      </c>
      <c r="E142">
        <f t="shared" si="2"/>
        <v>1748.7956100000001</v>
      </c>
    </row>
    <row r="143" spans="1:5" x14ac:dyDescent="0.2">
      <c r="A143" s="1" t="s">
        <v>233</v>
      </c>
      <c r="B143" s="41" t="s">
        <v>234</v>
      </c>
      <c r="C143">
        <v>1356</v>
      </c>
      <c r="D143">
        <v>242.32</v>
      </c>
      <c r="E143">
        <f t="shared" si="2"/>
        <v>328.58591999999999</v>
      </c>
    </row>
    <row r="144" spans="1:5" x14ac:dyDescent="0.2">
      <c r="A144" s="1" t="s">
        <v>229</v>
      </c>
      <c r="B144" s="41" t="s">
        <v>230</v>
      </c>
      <c r="C144">
        <v>6</v>
      </c>
      <c r="D144">
        <v>365.66</v>
      </c>
      <c r="E144">
        <f t="shared" si="2"/>
        <v>2.1939600000000001</v>
      </c>
    </row>
    <row r="145" spans="1:10" x14ac:dyDescent="0.2">
      <c r="A145" s="1" t="s">
        <v>231</v>
      </c>
      <c r="B145" s="41" t="s">
        <v>232</v>
      </c>
      <c r="C145">
        <v>750</v>
      </c>
      <c r="D145">
        <v>266.99</v>
      </c>
      <c r="E145">
        <f t="shared" si="2"/>
        <v>200.24250000000001</v>
      </c>
    </row>
    <row r="146" spans="1:10" x14ac:dyDescent="0.2">
      <c r="A146" s="1" t="s">
        <v>259</v>
      </c>
      <c r="B146" s="41" t="s">
        <v>260</v>
      </c>
      <c r="C146">
        <v>100</v>
      </c>
      <c r="D146">
        <v>328.64</v>
      </c>
      <c r="E146">
        <f t="shared" si="2"/>
        <v>32.863999999999997</v>
      </c>
    </row>
    <row r="147" spans="1:10" x14ac:dyDescent="0.2">
      <c r="A147" s="1" t="s">
        <v>1131</v>
      </c>
      <c r="B147" s="41" t="s">
        <v>1132</v>
      </c>
      <c r="C147">
        <v>25</v>
      </c>
      <c r="D147" s="42">
        <v>2265.9</v>
      </c>
      <c r="E147">
        <f t="shared" si="2"/>
        <v>56.647500000000001</v>
      </c>
    </row>
    <row r="148" spans="1:10" x14ac:dyDescent="0.2">
      <c r="A148" s="1" t="s">
        <v>363</v>
      </c>
      <c r="B148" s="41" t="s">
        <v>364</v>
      </c>
      <c r="C148">
        <v>8160</v>
      </c>
      <c r="D148">
        <v>626.92999999999995</v>
      </c>
      <c r="E148">
        <f t="shared" si="2"/>
        <v>5115.7487999999994</v>
      </c>
      <c r="J148" s="19" t="s">
        <v>1135</v>
      </c>
    </row>
    <row r="149" spans="1:10" x14ac:dyDescent="0.2">
      <c r="A149" s="1" t="s">
        <v>365</v>
      </c>
      <c r="B149" s="41" t="s">
        <v>366</v>
      </c>
      <c r="C149">
        <v>18765</v>
      </c>
      <c r="D149">
        <v>236.02</v>
      </c>
      <c r="E149">
        <f t="shared" si="2"/>
        <v>4428.9152999999997</v>
      </c>
      <c r="J149" s="19" t="s">
        <v>1136</v>
      </c>
    </row>
    <row r="150" spans="1:10" x14ac:dyDescent="0.2">
      <c r="A150" s="1" t="s">
        <v>367</v>
      </c>
      <c r="B150" s="41" t="s">
        <v>368</v>
      </c>
      <c r="C150">
        <v>22160</v>
      </c>
      <c r="D150">
        <v>262.38</v>
      </c>
      <c r="E150">
        <f t="shared" si="2"/>
        <v>5814.3407999999999</v>
      </c>
      <c r="J150" s="19" t="s">
        <v>1136</v>
      </c>
    </row>
    <row r="151" spans="1:10" x14ac:dyDescent="0.2">
      <c r="A151" s="1" t="s">
        <v>369</v>
      </c>
      <c r="B151" s="41" t="s">
        <v>370</v>
      </c>
      <c r="C151">
        <v>15920</v>
      </c>
      <c r="D151">
        <v>265.86</v>
      </c>
      <c r="E151">
        <f t="shared" si="2"/>
        <v>4232.4912000000004</v>
      </c>
      <c r="J151" s="19" t="s">
        <v>1136</v>
      </c>
    </row>
    <row r="152" spans="1:10" x14ac:dyDescent="0.2">
      <c r="A152" s="1" t="s">
        <v>299</v>
      </c>
      <c r="B152" s="41" t="s">
        <v>300</v>
      </c>
      <c r="C152">
        <v>5200</v>
      </c>
      <c r="D152">
        <v>118.36</v>
      </c>
      <c r="E152">
        <f t="shared" si="2"/>
        <v>615.47199999999998</v>
      </c>
    </row>
    <row r="153" spans="1:10" x14ac:dyDescent="0.2">
      <c r="A153" s="1" t="s">
        <v>357</v>
      </c>
      <c r="B153" s="41" t="s">
        <v>358</v>
      </c>
      <c r="C153">
        <v>23</v>
      </c>
      <c r="D153">
        <v>871.12</v>
      </c>
      <c r="E153">
        <f t="shared" si="2"/>
        <v>20.03576</v>
      </c>
      <c r="J153" s="19" t="s">
        <v>1136</v>
      </c>
    </row>
    <row r="154" spans="1:10" x14ac:dyDescent="0.2">
      <c r="A154" s="1" t="s">
        <v>315</v>
      </c>
      <c r="B154" s="41" t="s">
        <v>316</v>
      </c>
      <c r="C154">
        <v>8</v>
      </c>
      <c r="D154">
        <v>229.68</v>
      </c>
      <c r="E154">
        <f t="shared" si="2"/>
        <v>1.83744</v>
      </c>
    </row>
    <row r="155" spans="1:10" x14ac:dyDescent="0.2">
      <c r="A155" s="1" t="s">
        <v>323</v>
      </c>
      <c r="B155" s="41" t="s">
        <v>324</v>
      </c>
      <c r="C155">
        <v>4165</v>
      </c>
      <c r="D155">
        <v>345.53</v>
      </c>
      <c r="E155">
        <f t="shared" si="2"/>
        <v>1439.1324500000001</v>
      </c>
    </row>
    <row r="156" spans="1:10" x14ac:dyDescent="0.2">
      <c r="A156" s="1" t="s">
        <v>331</v>
      </c>
      <c r="B156" s="41" t="s">
        <v>332</v>
      </c>
      <c r="C156">
        <v>50</v>
      </c>
      <c r="D156">
        <v>469.82</v>
      </c>
      <c r="E156">
        <f t="shared" si="2"/>
        <v>23.491</v>
      </c>
    </row>
    <row r="157" spans="1:10" x14ac:dyDescent="0.2">
      <c r="A157" s="1" t="s">
        <v>335</v>
      </c>
      <c r="B157" s="41" t="s">
        <v>336</v>
      </c>
      <c r="C157">
        <v>124</v>
      </c>
      <c r="D157">
        <v>192.15</v>
      </c>
      <c r="E157">
        <f t="shared" si="2"/>
        <v>23.826600000000003</v>
      </c>
    </row>
    <row r="158" spans="1:10" x14ac:dyDescent="0.2">
      <c r="A158" s="1" t="s">
        <v>1133</v>
      </c>
      <c r="B158" s="41" t="s">
        <v>1134</v>
      </c>
      <c r="C158">
        <v>3</v>
      </c>
      <c r="D158">
        <v>688.07</v>
      </c>
      <c r="E158">
        <f t="shared" si="2"/>
        <v>2.0642100000000001</v>
      </c>
    </row>
    <row r="159" spans="1:10" x14ac:dyDescent="0.2">
      <c r="A159" s="1" t="s">
        <v>341</v>
      </c>
      <c r="B159" s="41" t="s">
        <v>342</v>
      </c>
      <c r="C159">
        <v>275</v>
      </c>
      <c r="D159">
        <v>929.35</v>
      </c>
      <c r="E159">
        <f t="shared" si="2"/>
        <v>255.57124999999999</v>
      </c>
    </row>
    <row r="160" spans="1:10" x14ac:dyDescent="0.2">
      <c r="A160" s="1" t="s">
        <v>339</v>
      </c>
      <c r="B160" s="41" t="s">
        <v>340</v>
      </c>
      <c r="C160">
        <v>234</v>
      </c>
      <c r="D160">
        <v>979.75</v>
      </c>
      <c r="E160">
        <f t="shared" si="2"/>
        <v>229.26150000000001</v>
      </c>
    </row>
    <row r="161" spans="1:10" x14ac:dyDescent="0.2">
      <c r="A161" s="1" t="s">
        <v>337</v>
      </c>
      <c r="B161" s="41" t="s">
        <v>338</v>
      </c>
      <c r="C161">
        <v>605</v>
      </c>
      <c r="D161" s="42">
        <v>1146.2</v>
      </c>
      <c r="E161">
        <f t="shared" si="2"/>
        <v>693.45100000000002</v>
      </c>
    </row>
    <row r="162" spans="1:10" x14ac:dyDescent="0.2">
      <c r="A162" s="1" t="s">
        <v>411</v>
      </c>
      <c r="B162" s="41" t="s">
        <v>412</v>
      </c>
      <c r="C162">
        <v>300</v>
      </c>
      <c r="D162">
        <v>743.26</v>
      </c>
      <c r="E162">
        <f t="shared" si="2"/>
        <v>222.97800000000001</v>
      </c>
      <c r="J162" s="19" t="s">
        <v>1136</v>
      </c>
    </row>
    <row r="163" spans="1:10" x14ac:dyDescent="0.2">
      <c r="A163" s="1" t="s">
        <v>423</v>
      </c>
      <c r="B163" s="41" t="s">
        <v>424</v>
      </c>
      <c r="C163">
        <v>65</v>
      </c>
      <c r="D163">
        <v>771.02</v>
      </c>
      <c r="E163">
        <f t="shared" si="2"/>
        <v>50.116299999999995</v>
      </c>
      <c r="J163" s="19" t="s">
        <v>1136</v>
      </c>
    </row>
    <row r="164" spans="1:10" x14ac:dyDescent="0.2">
      <c r="A164" s="1" t="s">
        <v>413</v>
      </c>
      <c r="B164" s="41" t="s">
        <v>414</v>
      </c>
      <c r="C164">
        <v>200</v>
      </c>
      <c r="D164">
        <v>798.74</v>
      </c>
      <c r="E164">
        <f t="shared" si="2"/>
        <v>159.74799999999999</v>
      </c>
      <c r="J164" s="19" t="s">
        <v>1136</v>
      </c>
    </row>
    <row r="165" spans="1:10" x14ac:dyDescent="0.2">
      <c r="A165" s="1" t="s">
        <v>415</v>
      </c>
      <c r="B165" s="41" t="s">
        <v>416</v>
      </c>
      <c r="C165">
        <v>130</v>
      </c>
      <c r="D165">
        <v>826.49</v>
      </c>
      <c r="E165">
        <f t="shared" si="2"/>
        <v>107.44369999999999</v>
      </c>
      <c r="J165" s="19" t="s">
        <v>1136</v>
      </c>
    </row>
    <row r="166" spans="1:10" x14ac:dyDescent="0.2">
      <c r="A166" s="1" t="s">
        <v>425</v>
      </c>
      <c r="B166" s="41" t="s">
        <v>426</v>
      </c>
      <c r="C166">
        <v>65</v>
      </c>
      <c r="D166">
        <v>854.23</v>
      </c>
      <c r="E166">
        <f t="shared" si="2"/>
        <v>55.524950000000004</v>
      </c>
      <c r="J166" s="19" t="s">
        <v>1136</v>
      </c>
    </row>
    <row r="167" spans="1:10" x14ac:dyDescent="0.2">
      <c r="A167" s="1" t="s">
        <v>417</v>
      </c>
      <c r="B167" s="41" t="s">
        <v>418</v>
      </c>
      <c r="C167">
        <v>255</v>
      </c>
      <c r="D167" s="42">
        <v>1076.2</v>
      </c>
      <c r="E167">
        <f t="shared" si="2"/>
        <v>274.43099999999998</v>
      </c>
      <c r="J167" s="19" t="s">
        <v>1136</v>
      </c>
    </row>
    <row r="168" spans="1:10" x14ac:dyDescent="0.2">
      <c r="A168" s="1" t="s">
        <v>419</v>
      </c>
      <c r="B168" s="41" t="s">
        <v>420</v>
      </c>
      <c r="C168">
        <v>235</v>
      </c>
      <c r="D168" s="42">
        <v>1187.2</v>
      </c>
      <c r="E168">
        <f t="shared" si="2"/>
        <v>278.99200000000002</v>
      </c>
      <c r="J168" s="19" t="s">
        <v>1136</v>
      </c>
    </row>
    <row r="169" spans="1:10" x14ac:dyDescent="0.2">
      <c r="A169" s="1" t="s">
        <v>445</v>
      </c>
      <c r="B169" s="41" t="s">
        <v>446</v>
      </c>
      <c r="C169">
        <v>2800</v>
      </c>
      <c r="D169">
        <v>308.79000000000002</v>
      </c>
      <c r="E169">
        <f t="shared" si="2"/>
        <v>864.61199999999997</v>
      </c>
    </row>
  </sheetData>
  <autoFilter ref="A1:J169" xr:uid="{6983D255-54A3-43C6-A6FE-548C8DEE21A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C6E0-7BB4-43FC-8258-7721FBB0B5E7}">
  <dimension ref="A1:I158"/>
  <sheetViews>
    <sheetView workbookViewId="0">
      <selection activeCell="F20" sqref="F20"/>
    </sheetView>
  </sheetViews>
  <sheetFormatPr defaultRowHeight="12.75" x14ac:dyDescent="0.2"/>
  <cols>
    <col min="1" max="1" width="10.42578125" bestFit="1" customWidth="1"/>
    <col min="2" max="2" width="43" bestFit="1" customWidth="1"/>
    <col min="4" max="4" width="14.5703125" bestFit="1" customWidth="1"/>
    <col min="5" max="5" width="16.42578125" bestFit="1" customWidth="1"/>
    <col min="6" max="6" width="34.42578125" bestFit="1" customWidth="1"/>
    <col min="7" max="7" width="10.7109375" bestFit="1" customWidth="1"/>
  </cols>
  <sheetData>
    <row r="1" spans="1:9" x14ac:dyDescent="0.2">
      <c r="A1" s="2" t="s">
        <v>459</v>
      </c>
      <c r="B1" s="2" t="s">
        <v>460</v>
      </c>
      <c r="C1" s="3" t="s">
        <v>462</v>
      </c>
      <c r="D1" s="4" t="s">
        <v>463</v>
      </c>
      <c r="E1" s="3" t="s">
        <v>464</v>
      </c>
      <c r="F1" s="3" t="s">
        <v>465</v>
      </c>
      <c r="G1" s="5" t="s">
        <v>466</v>
      </c>
      <c r="H1" s="5" t="s">
        <v>1137</v>
      </c>
      <c r="I1" s="5" t="s">
        <v>1138</v>
      </c>
    </row>
    <row r="2" spans="1:9" x14ac:dyDescent="0.2">
      <c r="A2" s="44" t="s">
        <v>33</v>
      </c>
      <c r="B2" s="45" t="s">
        <v>34</v>
      </c>
      <c r="C2" s="45">
        <v>100000</v>
      </c>
      <c r="D2" s="45">
        <v>3100019850</v>
      </c>
      <c r="E2" s="45" t="s">
        <v>491</v>
      </c>
      <c r="F2" s="45" t="s">
        <v>492</v>
      </c>
      <c r="G2" s="46" t="s">
        <v>472</v>
      </c>
      <c r="H2" s="45"/>
      <c r="I2" s="45"/>
    </row>
    <row r="3" spans="1:9" x14ac:dyDescent="0.2">
      <c r="A3" s="44" t="s">
        <v>71</v>
      </c>
      <c r="B3" s="45" t="s">
        <v>72</v>
      </c>
      <c r="C3" s="45">
        <v>150000</v>
      </c>
      <c r="D3" s="45">
        <v>3100019850</v>
      </c>
      <c r="E3" s="45" t="s">
        <v>491</v>
      </c>
      <c r="F3" s="45" t="s">
        <v>492</v>
      </c>
      <c r="G3" s="46" t="s">
        <v>472</v>
      </c>
      <c r="H3" s="45"/>
      <c r="I3" s="45"/>
    </row>
    <row r="4" spans="1:9" x14ac:dyDescent="0.2">
      <c r="A4" s="44" t="s">
        <v>349</v>
      </c>
      <c r="B4" s="45" t="s">
        <v>350</v>
      </c>
      <c r="C4" s="45">
        <v>200</v>
      </c>
      <c r="D4" s="45">
        <v>3200001132</v>
      </c>
      <c r="E4" s="45" t="s">
        <v>472</v>
      </c>
      <c r="F4" s="45" t="s">
        <v>523</v>
      </c>
      <c r="G4" s="47">
        <v>45167</v>
      </c>
      <c r="H4" s="45"/>
      <c r="I4" s="45"/>
    </row>
    <row r="5" spans="1:9" x14ac:dyDescent="0.2">
      <c r="A5" s="44" t="s">
        <v>377</v>
      </c>
      <c r="B5" s="45" t="s">
        <v>378</v>
      </c>
      <c r="C5" s="45">
        <v>6</v>
      </c>
      <c r="D5" s="45">
        <v>3100021500</v>
      </c>
      <c r="E5" s="45" t="s">
        <v>511</v>
      </c>
      <c r="F5" s="45" t="s">
        <v>512</v>
      </c>
      <c r="G5" s="47">
        <v>45163</v>
      </c>
      <c r="H5" s="45"/>
      <c r="I5" s="45"/>
    </row>
    <row r="6" spans="1:9" x14ac:dyDescent="0.2">
      <c r="A6" s="44" t="s">
        <v>361</v>
      </c>
      <c r="B6" s="45" t="s">
        <v>362</v>
      </c>
      <c r="C6" s="45">
        <v>4310</v>
      </c>
      <c r="D6" s="45">
        <v>3100021262</v>
      </c>
      <c r="E6" s="45" t="s">
        <v>472</v>
      </c>
      <c r="F6" s="45" t="s">
        <v>473</v>
      </c>
      <c r="G6" s="47">
        <v>45166</v>
      </c>
      <c r="H6" s="45"/>
      <c r="I6" s="45"/>
    </row>
    <row r="7" spans="1:9" x14ac:dyDescent="0.2">
      <c r="A7" s="44" t="s">
        <v>151</v>
      </c>
      <c r="B7" s="45" t="s">
        <v>152</v>
      </c>
      <c r="C7" s="45">
        <v>38100</v>
      </c>
      <c r="D7" s="45">
        <v>3100021549</v>
      </c>
      <c r="E7" s="45" t="s">
        <v>485</v>
      </c>
      <c r="F7" s="45" t="s">
        <v>486</v>
      </c>
      <c r="G7" s="47">
        <v>45170</v>
      </c>
      <c r="H7" s="45"/>
      <c r="I7" s="45"/>
    </row>
    <row r="8" spans="1:9" x14ac:dyDescent="0.2">
      <c r="A8" s="44" t="s">
        <v>407</v>
      </c>
      <c r="B8" s="45" t="s">
        <v>408</v>
      </c>
      <c r="C8" s="45">
        <v>303</v>
      </c>
      <c r="D8" s="45">
        <v>3100021543</v>
      </c>
      <c r="E8" s="45" t="s">
        <v>501</v>
      </c>
      <c r="F8" s="45" t="s">
        <v>483</v>
      </c>
      <c r="G8" s="47">
        <v>45170</v>
      </c>
      <c r="H8" s="45"/>
      <c r="I8" s="45"/>
    </row>
    <row r="9" spans="1:9" x14ac:dyDescent="0.2">
      <c r="A9" s="44" t="s">
        <v>89</v>
      </c>
      <c r="B9" s="45" t="s">
        <v>90</v>
      </c>
      <c r="C9" s="45">
        <v>2500</v>
      </c>
      <c r="D9" s="45">
        <v>3200001140</v>
      </c>
      <c r="E9" s="45" t="s">
        <v>472</v>
      </c>
      <c r="F9" s="45" t="s">
        <v>474</v>
      </c>
      <c r="G9" s="47">
        <v>45173</v>
      </c>
      <c r="H9" s="45"/>
      <c r="I9" s="45"/>
    </row>
    <row r="10" spans="1:9" x14ac:dyDescent="0.2">
      <c r="A10" s="44" t="s">
        <v>93</v>
      </c>
      <c r="B10" s="45" t="s">
        <v>94</v>
      </c>
      <c r="C10" s="45">
        <v>120</v>
      </c>
      <c r="D10" s="45">
        <v>3100021512</v>
      </c>
      <c r="E10" s="45" t="s">
        <v>502</v>
      </c>
      <c r="F10" s="45" t="s">
        <v>503</v>
      </c>
      <c r="G10" s="47">
        <v>45174</v>
      </c>
      <c r="H10" s="45"/>
      <c r="I10" s="45"/>
    </row>
    <row r="11" spans="1:9" x14ac:dyDescent="0.2">
      <c r="A11" s="44" t="s">
        <v>305</v>
      </c>
      <c r="B11" s="45" t="s">
        <v>306</v>
      </c>
      <c r="C11" s="45">
        <v>6500</v>
      </c>
      <c r="D11" s="45">
        <v>3100021234</v>
      </c>
      <c r="E11" s="45" t="s">
        <v>518</v>
      </c>
      <c r="F11" s="45" t="s">
        <v>500</v>
      </c>
      <c r="G11" s="47">
        <v>45177</v>
      </c>
      <c r="H11" s="45"/>
      <c r="I11" s="45"/>
    </row>
    <row r="12" spans="1:9" x14ac:dyDescent="0.2">
      <c r="A12" s="44" t="s">
        <v>309</v>
      </c>
      <c r="B12" s="45" t="s">
        <v>310</v>
      </c>
      <c r="C12" s="45">
        <v>500</v>
      </c>
      <c r="D12" s="45">
        <v>3100021234</v>
      </c>
      <c r="E12" s="45" t="s">
        <v>518</v>
      </c>
      <c r="F12" s="45" t="s">
        <v>500</v>
      </c>
      <c r="G12" s="47">
        <v>45177</v>
      </c>
      <c r="H12" s="45"/>
      <c r="I12" s="45"/>
    </row>
    <row r="13" spans="1:9" x14ac:dyDescent="0.2">
      <c r="A13" s="44" t="s">
        <v>313</v>
      </c>
      <c r="B13" s="45" t="s">
        <v>314</v>
      </c>
      <c r="C13" s="45">
        <v>300</v>
      </c>
      <c r="D13" s="45">
        <v>3100021234</v>
      </c>
      <c r="E13" s="45" t="s">
        <v>518</v>
      </c>
      <c r="F13" s="45" t="s">
        <v>500</v>
      </c>
      <c r="G13" s="47">
        <v>45177</v>
      </c>
      <c r="H13" s="45"/>
      <c r="I13" s="45"/>
    </row>
    <row r="14" spans="1:9" x14ac:dyDescent="0.2">
      <c r="A14" s="44" t="s">
        <v>321</v>
      </c>
      <c r="B14" s="45" t="s">
        <v>322</v>
      </c>
      <c r="C14" s="45">
        <v>100</v>
      </c>
      <c r="D14" s="45">
        <v>3100021234</v>
      </c>
      <c r="E14" s="45" t="s">
        <v>518</v>
      </c>
      <c r="F14" s="45" t="s">
        <v>500</v>
      </c>
      <c r="G14" s="47">
        <v>45177</v>
      </c>
      <c r="H14" s="45"/>
      <c r="I14" s="45"/>
    </row>
    <row r="15" spans="1:9" x14ac:dyDescent="0.2">
      <c r="A15" s="44" t="s">
        <v>327</v>
      </c>
      <c r="B15" s="45" t="s">
        <v>328</v>
      </c>
      <c r="C15" s="45">
        <v>400</v>
      </c>
      <c r="D15" s="45">
        <v>3100021234</v>
      </c>
      <c r="E15" s="45" t="s">
        <v>518</v>
      </c>
      <c r="F15" s="45" t="s">
        <v>500</v>
      </c>
      <c r="G15" s="47">
        <v>45177</v>
      </c>
      <c r="H15" s="45"/>
      <c r="I15" s="45"/>
    </row>
    <row r="16" spans="1:9" x14ac:dyDescent="0.2">
      <c r="A16" s="44" t="s">
        <v>73</v>
      </c>
      <c r="B16" s="45" t="s">
        <v>74</v>
      </c>
      <c r="C16" s="45">
        <v>2662</v>
      </c>
      <c r="D16" s="45">
        <v>3200001154</v>
      </c>
      <c r="E16" s="45" t="s">
        <v>472</v>
      </c>
      <c r="F16" s="45" t="s">
        <v>553</v>
      </c>
      <c r="G16" s="47">
        <v>45180</v>
      </c>
      <c r="H16" s="45"/>
      <c r="I16" s="45"/>
    </row>
    <row r="17" spans="1:9" x14ac:dyDescent="0.2">
      <c r="A17" s="44" t="s">
        <v>247</v>
      </c>
      <c r="B17" s="45" t="s">
        <v>248</v>
      </c>
      <c r="C17" s="45">
        <v>550</v>
      </c>
      <c r="D17" s="45">
        <v>3100021584</v>
      </c>
      <c r="E17" s="45" t="s">
        <v>533</v>
      </c>
      <c r="F17" s="45" t="s">
        <v>488</v>
      </c>
      <c r="G17" s="47">
        <v>45183</v>
      </c>
      <c r="H17" s="45"/>
      <c r="I17" s="45"/>
    </row>
    <row r="18" spans="1:9" x14ac:dyDescent="0.2">
      <c r="A18" s="44" t="s">
        <v>269</v>
      </c>
      <c r="B18" s="45" t="s">
        <v>270</v>
      </c>
      <c r="C18" s="45">
        <v>2159</v>
      </c>
      <c r="D18" s="45">
        <v>3100021639</v>
      </c>
      <c r="E18" s="45" t="s">
        <v>640</v>
      </c>
      <c r="F18" s="45" t="s">
        <v>641</v>
      </c>
      <c r="G18" s="47">
        <v>45183</v>
      </c>
      <c r="H18" s="45"/>
      <c r="I18" s="45"/>
    </row>
    <row r="19" spans="1:9" x14ac:dyDescent="0.2">
      <c r="A19" s="44" t="s">
        <v>455</v>
      </c>
      <c r="B19" s="45" t="s">
        <v>456</v>
      </c>
      <c r="C19" s="45">
        <v>500</v>
      </c>
      <c r="D19" s="45">
        <v>3100021639</v>
      </c>
      <c r="E19" s="45" t="s">
        <v>640</v>
      </c>
      <c r="F19" s="45" t="s">
        <v>641</v>
      </c>
      <c r="G19" s="47">
        <v>45183</v>
      </c>
      <c r="H19" s="45"/>
      <c r="I19" s="45"/>
    </row>
    <row r="20" spans="1:9" x14ac:dyDescent="0.2">
      <c r="A20" s="44" t="s">
        <v>453</v>
      </c>
      <c r="B20" s="45" t="s">
        <v>454</v>
      </c>
      <c r="C20" s="45">
        <v>2604</v>
      </c>
      <c r="D20" s="45">
        <v>3100021639</v>
      </c>
      <c r="E20" s="45" t="s">
        <v>640</v>
      </c>
      <c r="F20" s="45" t="s">
        <v>641</v>
      </c>
      <c r="G20" s="47">
        <v>45183</v>
      </c>
      <c r="H20" s="45"/>
      <c r="I20" s="45"/>
    </row>
    <row r="21" spans="1:9" x14ac:dyDescent="0.2">
      <c r="A21" s="44" t="s">
        <v>451</v>
      </c>
      <c r="B21" s="45" t="s">
        <v>452</v>
      </c>
      <c r="C21" s="45">
        <v>2361</v>
      </c>
      <c r="D21" s="45">
        <v>3100021639</v>
      </c>
      <c r="E21" s="45" t="s">
        <v>640</v>
      </c>
      <c r="F21" s="45" t="s">
        <v>641</v>
      </c>
      <c r="G21" s="47">
        <v>45183</v>
      </c>
      <c r="H21" s="45"/>
      <c r="I21" s="45"/>
    </row>
    <row r="22" spans="1:9" x14ac:dyDescent="0.2">
      <c r="A22" s="44" t="s">
        <v>449</v>
      </c>
      <c r="B22" s="45" t="s">
        <v>450</v>
      </c>
      <c r="C22" s="45">
        <v>139</v>
      </c>
      <c r="D22" s="45">
        <v>3100021639</v>
      </c>
      <c r="E22" s="45" t="s">
        <v>640</v>
      </c>
      <c r="F22" s="45" t="s">
        <v>641</v>
      </c>
      <c r="G22" s="47">
        <v>45183</v>
      </c>
      <c r="H22" s="45"/>
      <c r="I22" s="45"/>
    </row>
    <row r="23" spans="1:9" x14ac:dyDescent="0.2">
      <c r="A23" s="44" t="s">
        <v>447</v>
      </c>
      <c r="B23" s="45" t="s">
        <v>448</v>
      </c>
      <c r="C23" s="45">
        <v>139</v>
      </c>
      <c r="D23" s="45">
        <v>3100021639</v>
      </c>
      <c r="E23" s="45" t="s">
        <v>640</v>
      </c>
      <c r="F23" s="45" t="s">
        <v>641</v>
      </c>
      <c r="G23" s="47">
        <v>45183</v>
      </c>
      <c r="H23" s="45"/>
      <c r="I23" s="45"/>
    </row>
    <row r="24" spans="1:9" x14ac:dyDescent="0.2">
      <c r="A24" s="44" t="s">
        <v>403</v>
      </c>
      <c r="B24" s="45" t="s">
        <v>404</v>
      </c>
      <c r="C24" s="45">
        <v>3000</v>
      </c>
      <c r="D24" s="45">
        <v>3100021491</v>
      </c>
      <c r="E24" s="45" t="s">
        <v>506</v>
      </c>
      <c r="F24" s="45" t="s">
        <v>507</v>
      </c>
      <c r="G24" s="47">
        <v>45185</v>
      </c>
      <c r="H24" s="45"/>
      <c r="I24" s="45"/>
    </row>
    <row r="25" spans="1:9" x14ac:dyDescent="0.2">
      <c r="A25" s="44" t="s">
        <v>167</v>
      </c>
      <c r="B25" s="45" t="s">
        <v>168</v>
      </c>
      <c r="C25" s="45">
        <v>350</v>
      </c>
      <c r="D25" s="45">
        <v>3200001165</v>
      </c>
      <c r="E25" s="45" t="s">
        <v>472</v>
      </c>
      <c r="F25" s="45" t="s">
        <v>526</v>
      </c>
      <c r="G25" s="47">
        <v>45195</v>
      </c>
      <c r="H25" s="45"/>
      <c r="I25" s="45"/>
    </row>
    <row r="26" spans="1:9" x14ac:dyDescent="0.2">
      <c r="A26" s="44" t="s">
        <v>149</v>
      </c>
      <c r="B26" s="45" t="s">
        <v>150</v>
      </c>
      <c r="C26" s="45">
        <v>325</v>
      </c>
      <c r="D26" s="45">
        <v>3200001165</v>
      </c>
      <c r="E26" s="45" t="s">
        <v>472</v>
      </c>
      <c r="F26" s="45" t="s">
        <v>526</v>
      </c>
      <c r="G26" s="47">
        <v>45195</v>
      </c>
      <c r="H26" s="45"/>
      <c r="I26" s="45"/>
    </row>
    <row r="27" spans="1:9" x14ac:dyDescent="0.2">
      <c r="A27" s="44" t="s">
        <v>375</v>
      </c>
      <c r="B27" s="45" t="s">
        <v>376</v>
      </c>
      <c r="C27" s="45">
        <v>50</v>
      </c>
      <c r="D27" s="45">
        <v>3100021412</v>
      </c>
      <c r="E27" s="45" t="s">
        <v>472</v>
      </c>
      <c r="F27" s="45" t="s">
        <v>508</v>
      </c>
      <c r="G27" s="47">
        <v>45198</v>
      </c>
      <c r="H27" s="45"/>
      <c r="I27" s="45"/>
    </row>
    <row r="28" spans="1:9" x14ac:dyDescent="0.2">
      <c r="A28" s="44" t="s">
        <v>171</v>
      </c>
      <c r="B28" s="45" t="s">
        <v>172</v>
      </c>
      <c r="C28" s="45">
        <v>150</v>
      </c>
      <c r="D28" s="45">
        <v>3100021412</v>
      </c>
      <c r="E28" s="45" t="s">
        <v>472</v>
      </c>
      <c r="F28" s="45" t="s">
        <v>508</v>
      </c>
      <c r="G28" s="47">
        <v>45198</v>
      </c>
      <c r="H28" s="45"/>
      <c r="I28" s="45"/>
    </row>
    <row r="29" spans="1:9" x14ac:dyDescent="0.2">
      <c r="A29" s="44" t="s">
        <v>371</v>
      </c>
      <c r="B29" s="45" t="s">
        <v>372</v>
      </c>
      <c r="C29" s="45">
        <v>6610</v>
      </c>
      <c r="D29" s="45">
        <v>3100021262</v>
      </c>
      <c r="E29" s="45" t="s">
        <v>472</v>
      </c>
      <c r="F29" s="45" t="s">
        <v>473</v>
      </c>
      <c r="G29" s="47">
        <v>45201</v>
      </c>
      <c r="H29" s="45"/>
      <c r="I29" s="45"/>
    </row>
    <row r="30" spans="1:9" x14ac:dyDescent="0.2">
      <c r="A30" s="44" t="s">
        <v>191</v>
      </c>
      <c r="B30" s="45" t="s">
        <v>192</v>
      </c>
      <c r="C30" s="45">
        <v>250</v>
      </c>
      <c r="D30" s="45">
        <v>3100021488</v>
      </c>
      <c r="E30" s="45" t="s">
        <v>487</v>
      </c>
      <c r="F30" s="45" t="s">
        <v>488</v>
      </c>
      <c r="G30" s="47">
        <v>45203</v>
      </c>
      <c r="H30" s="45"/>
      <c r="I30" s="45"/>
    </row>
    <row r="31" spans="1:9" x14ac:dyDescent="0.2">
      <c r="A31" s="44" t="s">
        <v>55</v>
      </c>
      <c r="B31" s="45" t="s">
        <v>56</v>
      </c>
      <c r="C31" s="45">
        <v>4000</v>
      </c>
      <c r="D31" s="45">
        <v>3100021567</v>
      </c>
      <c r="E31" s="45" t="s">
        <v>484</v>
      </c>
      <c r="F31" s="45" t="s">
        <v>481</v>
      </c>
      <c r="G31" s="47">
        <v>45205</v>
      </c>
      <c r="H31" s="45"/>
      <c r="I31" s="45"/>
    </row>
    <row r="32" spans="1:9" x14ac:dyDescent="0.2">
      <c r="A32" s="44" t="s">
        <v>85</v>
      </c>
      <c r="B32" s="45" t="s">
        <v>86</v>
      </c>
      <c r="C32" s="45">
        <v>450</v>
      </c>
      <c r="D32" s="45">
        <v>3100021567</v>
      </c>
      <c r="E32" s="45" t="s">
        <v>484</v>
      </c>
      <c r="F32" s="45" t="s">
        <v>481</v>
      </c>
      <c r="G32" s="47">
        <v>45205</v>
      </c>
      <c r="H32" s="45"/>
      <c r="I32" s="45"/>
    </row>
    <row r="33" spans="1:9" x14ac:dyDescent="0.2">
      <c r="A33" s="44" t="s">
        <v>105</v>
      </c>
      <c r="B33" s="45" t="s">
        <v>106</v>
      </c>
      <c r="C33" s="45">
        <v>2800</v>
      </c>
      <c r="D33" s="45">
        <v>3100021506</v>
      </c>
      <c r="E33" s="45" t="s">
        <v>475</v>
      </c>
      <c r="F33" s="45" t="s">
        <v>476</v>
      </c>
      <c r="G33" s="47">
        <v>45212</v>
      </c>
      <c r="H33" s="45"/>
      <c r="I33" s="45"/>
    </row>
    <row r="34" spans="1:9" x14ac:dyDescent="0.2">
      <c r="A34" s="44" t="s">
        <v>243</v>
      </c>
      <c r="B34" s="45" t="s">
        <v>244</v>
      </c>
      <c r="C34" s="45">
        <v>8500</v>
      </c>
      <c r="D34" s="45">
        <v>3100021506</v>
      </c>
      <c r="E34" s="45" t="s">
        <v>475</v>
      </c>
      <c r="F34" s="45" t="s">
        <v>476</v>
      </c>
      <c r="G34" s="47">
        <v>45212</v>
      </c>
      <c r="H34" s="45"/>
      <c r="I34" s="45"/>
    </row>
    <row r="35" spans="1:9" x14ac:dyDescent="0.2">
      <c r="A35" s="44" t="s">
        <v>257</v>
      </c>
      <c r="B35" s="45" t="s">
        <v>258</v>
      </c>
      <c r="C35" s="45">
        <v>82000</v>
      </c>
      <c r="D35" s="45">
        <v>3100021506</v>
      </c>
      <c r="E35" s="45" t="s">
        <v>475</v>
      </c>
      <c r="F35" s="45" t="s">
        <v>476</v>
      </c>
      <c r="G35" s="47">
        <v>45212</v>
      </c>
      <c r="H35" s="45"/>
      <c r="I35" s="45"/>
    </row>
    <row r="36" spans="1:9" x14ac:dyDescent="0.2">
      <c r="A36" s="44" t="s">
        <v>295</v>
      </c>
      <c r="B36" s="45" t="s">
        <v>296</v>
      </c>
      <c r="C36" s="45">
        <v>15000</v>
      </c>
      <c r="D36" s="45">
        <v>3100021540</v>
      </c>
      <c r="E36" s="45" t="s">
        <v>472</v>
      </c>
      <c r="F36" s="45" t="s">
        <v>479</v>
      </c>
      <c r="G36" s="47">
        <v>45216</v>
      </c>
      <c r="H36" s="45"/>
      <c r="I36" s="45"/>
    </row>
    <row r="37" spans="1:9" x14ac:dyDescent="0.2">
      <c r="A37" s="44" t="s">
        <v>297</v>
      </c>
      <c r="B37" s="45" t="s">
        <v>298</v>
      </c>
      <c r="C37" s="45">
        <v>5000</v>
      </c>
      <c r="D37" s="45">
        <v>3100021540</v>
      </c>
      <c r="E37" s="45" t="s">
        <v>472</v>
      </c>
      <c r="F37" s="45" t="s">
        <v>479</v>
      </c>
      <c r="G37" s="47">
        <v>45216</v>
      </c>
      <c r="H37" s="45"/>
      <c r="I37" s="45"/>
    </row>
    <row r="38" spans="1:9" x14ac:dyDescent="0.2">
      <c r="A38" s="44" t="s">
        <v>91</v>
      </c>
      <c r="B38" s="45" t="s">
        <v>92</v>
      </c>
      <c r="C38" s="45">
        <v>600</v>
      </c>
      <c r="D38" s="45">
        <v>3100021621</v>
      </c>
      <c r="E38" s="45" t="s">
        <v>547</v>
      </c>
      <c r="F38" s="45" t="s">
        <v>548</v>
      </c>
      <c r="G38" s="47">
        <v>45219</v>
      </c>
      <c r="H38" s="45"/>
      <c r="I38" s="45"/>
    </row>
    <row r="39" spans="1:9" x14ac:dyDescent="0.2">
      <c r="A39" s="44" t="s">
        <v>333</v>
      </c>
      <c r="B39" s="45" t="s">
        <v>334</v>
      </c>
      <c r="C39" s="45">
        <v>252</v>
      </c>
      <c r="D39" s="45">
        <v>3100021461</v>
      </c>
      <c r="E39" s="45" t="s">
        <v>499</v>
      </c>
      <c r="F39" s="45" t="s">
        <v>500</v>
      </c>
      <c r="G39" s="47">
        <v>45219</v>
      </c>
      <c r="H39" s="45"/>
      <c r="I39" s="45"/>
    </row>
    <row r="40" spans="1:9" x14ac:dyDescent="0.2">
      <c r="A40" s="44" t="s">
        <v>261</v>
      </c>
      <c r="B40" s="45" t="s">
        <v>262</v>
      </c>
      <c r="C40" s="45">
        <v>2000</v>
      </c>
      <c r="D40" s="45">
        <v>3100021623</v>
      </c>
      <c r="E40" s="45" t="s">
        <v>477</v>
      </c>
      <c r="F40" s="45" t="s">
        <v>478</v>
      </c>
      <c r="G40" s="47">
        <v>45224</v>
      </c>
      <c r="H40" s="45"/>
      <c r="I40" s="45"/>
    </row>
    <row r="41" spans="1:9" x14ac:dyDescent="0.2">
      <c r="A41" s="44" t="s">
        <v>273</v>
      </c>
      <c r="B41" s="45" t="s">
        <v>274</v>
      </c>
      <c r="C41" s="45">
        <v>1000</v>
      </c>
      <c r="D41" s="45">
        <v>3100021623</v>
      </c>
      <c r="E41" s="45" t="s">
        <v>477</v>
      </c>
      <c r="F41" s="45" t="s">
        <v>478</v>
      </c>
      <c r="G41" s="47">
        <v>45224</v>
      </c>
      <c r="H41" s="45"/>
      <c r="I41" s="45"/>
    </row>
    <row r="42" spans="1:9" x14ac:dyDescent="0.2">
      <c r="A42" s="44" t="s">
        <v>249</v>
      </c>
      <c r="B42" s="45" t="s">
        <v>250</v>
      </c>
      <c r="C42" s="45">
        <v>1500</v>
      </c>
      <c r="D42" s="45">
        <v>3100021555</v>
      </c>
      <c r="E42" s="45" t="s">
        <v>566</v>
      </c>
      <c r="F42" s="45" t="s">
        <v>567</v>
      </c>
      <c r="G42" s="47">
        <v>45229</v>
      </c>
      <c r="H42" s="45"/>
      <c r="I42" s="45"/>
    </row>
    <row r="43" spans="1:9" x14ac:dyDescent="0.2">
      <c r="A43" s="44" t="s">
        <v>241</v>
      </c>
      <c r="B43" s="45" t="s">
        <v>242</v>
      </c>
      <c r="C43" s="45">
        <v>5082</v>
      </c>
      <c r="D43" s="45">
        <v>3100021555</v>
      </c>
      <c r="E43" s="45" t="s">
        <v>566</v>
      </c>
      <c r="F43" s="45" t="s">
        <v>567</v>
      </c>
      <c r="G43" s="47">
        <v>45229</v>
      </c>
      <c r="H43" s="45"/>
      <c r="I43" s="45"/>
    </row>
    <row r="44" spans="1:9" x14ac:dyDescent="0.2">
      <c r="A44" s="44" t="s">
        <v>237</v>
      </c>
      <c r="B44" s="45" t="s">
        <v>238</v>
      </c>
      <c r="C44" s="45">
        <v>14600</v>
      </c>
      <c r="D44" s="45">
        <v>3100021555</v>
      </c>
      <c r="E44" s="45" t="s">
        <v>566</v>
      </c>
      <c r="F44" s="45" t="s">
        <v>567</v>
      </c>
      <c r="G44" s="47">
        <v>45229</v>
      </c>
      <c r="H44" s="45"/>
      <c r="I44" s="45"/>
    </row>
    <row r="45" spans="1:9" x14ac:dyDescent="0.2">
      <c r="A45" s="44" t="s">
        <v>235</v>
      </c>
      <c r="B45" s="45" t="s">
        <v>236</v>
      </c>
      <c r="C45" s="45">
        <v>2100</v>
      </c>
      <c r="D45" s="45">
        <v>3100021555</v>
      </c>
      <c r="E45" s="45" t="s">
        <v>566</v>
      </c>
      <c r="F45" s="45" t="s">
        <v>567</v>
      </c>
      <c r="G45" s="47">
        <v>45229</v>
      </c>
      <c r="H45" s="45"/>
      <c r="I45" s="45"/>
    </row>
    <row r="46" spans="1:9" x14ac:dyDescent="0.2">
      <c r="A46" s="44" t="s">
        <v>107</v>
      </c>
      <c r="B46" s="45" t="s">
        <v>108</v>
      </c>
      <c r="C46" s="45">
        <v>100</v>
      </c>
      <c r="D46" s="45">
        <v>3100021636</v>
      </c>
      <c r="E46" s="45" t="s">
        <v>535</v>
      </c>
      <c r="F46" s="45" t="s">
        <v>536</v>
      </c>
      <c r="G46" s="47">
        <v>45230</v>
      </c>
      <c r="H46" s="45"/>
      <c r="I46" s="45"/>
    </row>
    <row r="47" spans="1:9" x14ac:dyDescent="0.2">
      <c r="A47" s="44" t="s">
        <v>303</v>
      </c>
      <c r="B47" s="45" t="s">
        <v>304</v>
      </c>
      <c r="C47" s="45">
        <v>670</v>
      </c>
      <c r="D47" s="45">
        <v>3100021636</v>
      </c>
      <c r="E47" s="45" t="s">
        <v>535</v>
      </c>
      <c r="F47" s="45" t="s">
        <v>536</v>
      </c>
      <c r="G47" s="47">
        <v>45230</v>
      </c>
      <c r="H47" s="45"/>
      <c r="I47" s="45"/>
    </row>
    <row r="48" spans="1:9" x14ac:dyDescent="0.2">
      <c r="A48" s="44" t="s">
        <v>307</v>
      </c>
      <c r="B48" s="45" t="s">
        <v>308</v>
      </c>
      <c r="C48" s="45">
        <v>2500</v>
      </c>
      <c r="D48" s="45">
        <v>3100021636</v>
      </c>
      <c r="E48" s="45" t="s">
        <v>535</v>
      </c>
      <c r="F48" s="45" t="s">
        <v>536</v>
      </c>
      <c r="G48" s="47">
        <v>45230</v>
      </c>
      <c r="H48" s="45"/>
      <c r="I48" s="45"/>
    </row>
    <row r="49" spans="1:9" x14ac:dyDescent="0.2">
      <c r="A49" s="44" t="s">
        <v>311</v>
      </c>
      <c r="B49" s="45" t="s">
        <v>312</v>
      </c>
      <c r="C49" s="45">
        <v>4700</v>
      </c>
      <c r="D49" s="45">
        <v>3100021636</v>
      </c>
      <c r="E49" s="45" t="s">
        <v>535</v>
      </c>
      <c r="F49" s="45" t="s">
        <v>536</v>
      </c>
      <c r="G49" s="47">
        <v>45230</v>
      </c>
      <c r="H49" s="45"/>
      <c r="I49" s="45"/>
    </row>
    <row r="50" spans="1:9" x14ac:dyDescent="0.2">
      <c r="A50" s="44" t="s">
        <v>317</v>
      </c>
      <c r="B50" s="45" t="s">
        <v>318</v>
      </c>
      <c r="C50" s="45">
        <v>350</v>
      </c>
      <c r="D50" s="45">
        <v>3100021636</v>
      </c>
      <c r="E50" s="45" t="s">
        <v>535</v>
      </c>
      <c r="F50" s="45" t="s">
        <v>536</v>
      </c>
      <c r="G50" s="47">
        <v>45230</v>
      </c>
      <c r="H50" s="45"/>
      <c r="I50" s="45"/>
    </row>
    <row r="51" spans="1:9" x14ac:dyDescent="0.2">
      <c r="A51" s="44" t="s">
        <v>319</v>
      </c>
      <c r="B51" s="45" t="s">
        <v>320</v>
      </c>
      <c r="C51" s="45">
        <v>3100</v>
      </c>
      <c r="D51" s="45">
        <v>3100021636</v>
      </c>
      <c r="E51" s="45" t="s">
        <v>535</v>
      </c>
      <c r="F51" s="45" t="s">
        <v>536</v>
      </c>
      <c r="G51" s="47">
        <v>45230</v>
      </c>
      <c r="H51" s="45"/>
      <c r="I51" s="45"/>
    </row>
    <row r="52" spans="1:9" x14ac:dyDescent="0.2">
      <c r="A52" s="44" t="s">
        <v>323</v>
      </c>
      <c r="B52" s="45" t="s">
        <v>324</v>
      </c>
      <c r="C52" s="45">
        <v>2500</v>
      </c>
      <c r="D52" s="45">
        <v>3100021636</v>
      </c>
      <c r="E52" s="45" t="s">
        <v>535</v>
      </c>
      <c r="F52" s="45" t="s">
        <v>536</v>
      </c>
      <c r="G52" s="47">
        <v>45230</v>
      </c>
      <c r="H52" s="45"/>
      <c r="I52" s="45"/>
    </row>
    <row r="53" spans="1:9" x14ac:dyDescent="0.2">
      <c r="A53" s="44" t="s">
        <v>325</v>
      </c>
      <c r="B53" s="45" t="s">
        <v>326</v>
      </c>
      <c r="C53" s="45">
        <v>1010</v>
      </c>
      <c r="D53" s="45">
        <v>3100021636</v>
      </c>
      <c r="E53" s="45" t="s">
        <v>535</v>
      </c>
      <c r="F53" s="45" t="s">
        <v>536</v>
      </c>
      <c r="G53" s="47">
        <v>45230</v>
      </c>
      <c r="H53" s="45"/>
      <c r="I53" s="45"/>
    </row>
    <row r="54" spans="1:9" x14ac:dyDescent="0.2">
      <c r="A54" s="44" t="s">
        <v>329</v>
      </c>
      <c r="B54" s="45" t="s">
        <v>330</v>
      </c>
      <c r="C54" s="45">
        <v>745</v>
      </c>
      <c r="D54" s="45">
        <v>3100021636</v>
      </c>
      <c r="E54" s="45" t="s">
        <v>535</v>
      </c>
      <c r="F54" s="45" t="s">
        <v>536</v>
      </c>
      <c r="G54" s="47">
        <v>45230</v>
      </c>
      <c r="H54" s="45"/>
      <c r="I54" s="45"/>
    </row>
    <row r="55" spans="1:9" x14ac:dyDescent="0.2">
      <c r="A55" s="44" t="s">
        <v>239</v>
      </c>
      <c r="B55" s="45" t="s">
        <v>240</v>
      </c>
      <c r="C55" s="45">
        <v>8800</v>
      </c>
      <c r="D55" s="45">
        <v>3100021294</v>
      </c>
      <c r="E55" s="45" t="s">
        <v>581</v>
      </c>
      <c r="F55" s="45" t="s">
        <v>582</v>
      </c>
      <c r="G55" s="47">
        <v>45250</v>
      </c>
      <c r="H55" s="45"/>
      <c r="I55" s="45"/>
    </row>
    <row r="56" spans="1:9" x14ac:dyDescent="0.2">
      <c r="A56" s="44" t="s">
        <v>255</v>
      </c>
      <c r="B56" s="45" t="s">
        <v>256</v>
      </c>
      <c r="C56" s="45">
        <v>500</v>
      </c>
      <c r="D56" s="45">
        <v>3100021534</v>
      </c>
      <c r="E56" s="45" t="s">
        <v>516</v>
      </c>
      <c r="F56" s="45" t="s">
        <v>517</v>
      </c>
      <c r="G56" s="47">
        <v>45320</v>
      </c>
      <c r="H56" s="45"/>
      <c r="I56" s="45"/>
    </row>
    <row r="57" spans="1:9" x14ac:dyDescent="0.2">
      <c r="A57" s="44" t="s">
        <v>253</v>
      </c>
      <c r="B57" s="45" t="s">
        <v>254</v>
      </c>
      <c r="C57" s="45">
        <v>7500</v>
      </c>
      <c r="D57" s="45">
        <v>3100021562</v>
      </c>
      <c r="E57" s="45" t="s">
        <v>568</v>
      </c>
      <c r="F57" s="45" t="s">
        <v>517</v>
      </c>
      <c r="G57" s="47">
        <v>45439</v>
      </c>
      <c r="H57" s="45"/>
      <c r="I57" s="45"/>
    </row>
    <row r="58" spans="1:9" x14ac:dyDescent="0.2">
      <c r="A58" s="44" t="s">
        <v>409</v>
      </c>
      <c r="B58" s="45" t="s">
        <v>410</v>
      </c>
      <c r="C58" s="45">
        <v>185</v>
      </c>
      <c r="D58" s="45">
        <v>3100021420</v>
      </c>
      <c r="E58" s="45" t="s">
        <v>524</v>
      </c>
      <c r="F58" s="45" t="s">
        <v>504</v>
      </c>
      <c r="G58" s="47">
        <v>45177</v>
      </c>
      <c r="H58" s="45"/>
      <c r="I58" s="45"/>
    </row>
    <row r="59" spans="1:9" x14ac:dyDescent="0.2">
      <c r="A59" s="44" t="s">
        <v>161</v>
      </c>
      <c r="B59" s="45" t="s">
        <v>162</v>
      </c>
      <c r="C59" s="45">
        <v>1000</v>
      </c>
      <c r="D59" s="45">
        <v>3100021426</v>
      </c>
      <c r="E59" s="45" t="s">
        <v>525</v>
      </c>
      <c r="F59" s="45" t="s">
        <v>504</v>
      </c>
      <c r="G59" s="47">
        <v>45199</v>
      </c>
      <c r="H59" s="45"/>
      <c r="I59" s="45"/>
    </row>
    <row r="60" spans="1:9" x14ac:dyDescent="0.2">
      <c r="A60" s="44" t="s">
        <v>163</v>
      </c>
      <c r="B60" s="45" t="s">
        <v>164</v>
      </c>
      <c r="C60" s="45">
        <v>370</v>
      </c>
      <c r="D60" s="45">
        <v>3100021426</v>
      </c>
      <c r="E60" s="45" t="s">
        <v>525</v>
      </c>
      <c r="F60" s="45" t="s">
        <v>504</v>
      </c>
      <c r="G60" s="47">
        <v>45199</v>
      </c>
      <c r="H60" s="45"/>
      <c r="I60" s="45"/>
    </row>
    <row r="61" spans="1:9" x14ac:dyDescent="0.2">
      <c r="A61" s="44" t="s">
        <v>133</v>
      </c>
      <c r="B61" s="45" t="s">
        <v>134</v>
      </c>
      <c r="C61" s="45">
        <v>5200</v>
      </c>
      <c r="D61" s="45">
        <v>3100021015</v>
      </c>
      <c r="E61" s="45" t="s">
        <v>573</v>
      </c>
      <c r="F61" s="45" t="s">
        <v>504</v>
      </c>
      <c r="G61" s="47">
        <v>45215</v>
      </c>
      <c r="H61" s="45"/>
      <c r="I61" s="45"/>
    </row>
    <row r="62" spans="1:9" x14ac:dyDescent="0.2">
      <c r="A62" s="44" t="s">
        <v>351</v>
      </c>
      <c r="B62" s="45" t="s">
        <v>352</v>
      </c>
      <c r="C62" s="45">
        <v>5</v>
      </c>
      <c r="D62" s="45">
        <v>3100021015</v>
      </c>
      <c r="E62" s="45" t="s">
        <v>573</v>
      </c>
      <c r="F62" s="45" t="s">
        <v>504</v>
      </c>
      <c r="G62" s="47">
        <v>45215</v>
      </c>
      <c r="H62" s="45"/>
      <c r="I62" s="45"/>
    </row>
    <row r="63" spans="1:9" x14ac:dyDescent="0.2">
      <c r="A63" s="44" t="s">
        <v>29</v>
      </c>
      <c r="B63" s="45" t="s">
        <v>30</v>
      </c>
      <c r="C63" s="45">
        <v>3500</v>
      </c>
      <c r="D63" s="45">
        <v>3100020724</v>
      </c>
      <c r="E63" s="45" t="s">
        <v>574</v>
      </c>
      <c r="F63" s="45" t="s">
        <v>504</v>
      </c>
      <c r="G63" s="47">
        <v>45239</v>
      </c>
      <c r="H63" s="45"/>
      <c r="I63" s="45"/>
    </row>
    <row r="64" spans="1:9" x14ac:dyDescent="0.2">
      <c r="A64" s="44" t="s">
        <v>159</v>
      </c>
      <c r="B64" s="45" t="s">
        <v>160</v>
      </c>
      <c r="C64" s="45">
        <v>600</v>
      </c>
      <c r="D64" s="45">
        <v>3100020827</v>
      </c>
      <c r="E64" s="45" t="s">
        <v>527</v>
      </c>
      <c r="F64" s="45" t="s">
        <v>504</v>
      </c>
      <c r="G64" s="47">
        <v>45278</v>
      </c>
      <c r="H64" s="45"/>
      <c r="I64" s="45"/>
    </row>
    <row r="65" spans="1:9" x14ac:dyDescent="0.2">
      <c r="A65" s="44" t="s">
        <v>113</v>
      </c>
      <c r="B65" s="45" t="s">
        <v>114</v>
      </c>
      <c r="C65" s="45">
        <v>1000</v>
      </c>
      <c r="D65" s="45" t="s">
        <v>472</v>
      </c>
      <c r="E65" s="45" t="s">
        <v>472</v>
      </c>
      <c r="F65" s="45" t="s">
        <v>504</v>
      </c>
      <c r="G65" s="47" t="s">
        <v>472</v>
      </c>
      <c r="H65" s="45"/>
      <c r="I65" s="45"/>
    </row>
    <row r="66" spans="1:9" x14ac:dyDescent="0.2">
      <c r="A66" s="44" t="s">
        <v>115</v>
      </c>
      <c r="B66" s="45" t="s">
        <v>116</v>
      </c>
      <c r="C66" s="45">
        <v>3300</v>
      </c>
      <c r="D66" s="45" t="s">
        <v>472</v>
      </c>
      <c r="E66" s="45" t="s">
        <v>472</v>
      </c>
      <c r="F66" s="45" t="s">
        <v>504</v>
      </c>
      <c r="G66" s="47" t="s">
        <v>472</v>
      </c>
      <c r="H66" s="45"/>
      <c r="I66" s="45"/>
    </row>
    <row r="67" spans="1:9" x14ac:dyDescent="0.2">
      <c r="A67" s="44" t="s">
        <v>9</v>
      </c>
      <c r="B67" s="45" t="s">
        <v>10</v>
      </c>
      <c r="C67" s="45">
        <v>2300</v>
      </c>
      <c r="D67" s="45" t="s">
        <v>472</v>
      </c>
      <c r="E67" s="45" t="s">
        <v>472</v>
      </c>
      <c r="F67" s="45" t="s">
        <v>504</v>
      </c>
      <c r="G67" s="47" t="s">
        <v>472</v>
      </c>
      <c r="H67" s="45"/>
      <c r="I67" s="45"/>
    </row>
    <row r="68" spans="1:9" x14ac:dyDescent="0.2">
      <c r="A68" s="44" t="s">
        <v>7</v>
      </c>
      <c r="B68" s="45" t="s">
        <v>8</v>
      </c>
      <c r="C68" s="45">
        <v>2000</v>
      </c>
      <c r="D68" s="45" t="s">
        <v>472</v>
      </c>
      <c r="E68" s="45" t="s">
        <v>472</v>
      </c>
      <c r="F68" s="45" t="s">
        <v>504</v>
      </c>
      <c r="G68" s="47" t="s">
        <v>472</v>
      </c>
      <c r="H68" s="45"/>
      <c r="I68" s="45"/>
    </row>
    <row r="69" spans="1:9" x14ac:dyDescent="0.2">
      <c r="A69" s="44" t="s">
        <v>117</v>
      </c>
      <c r="B69" s="45" t="s">
        <v>118</v>
      </c>
      <c r="C69" s="45">
        <v>2800</v>
      </c>
      <c r="D69" s="45" t="s">
        <v>472</v>
      </c>
      <c r="E69" s="45" t="s">
        <v>472</v>
      </c>
      <c r="F69" s="45" t="s">
        <v>504</v>
      </c>
      <c r="G69" s="47" t="s">
        <v>472</v>
      </c>
      <c r="H69" s="45"/>
      <c r="I69" s="45"/>
    </row>
    <row r="70" spans="1:9" x14ac:dyDescent="0.2">
      <c r="A70" s="44" t="s">
        <v>109</v>
      </c>
      <c r="B70" s="45" t="s">
        <v>110</v>
      </c>
      <c r="C70" s="45">
        <v>1000</v>
      </c>
      <c r="D70" s="45" t="s">
        <v>472</v>
      </c>
      <c r="E70" s="45" t="s">
        <v>472</v>
      </c>
      <c r="F70" s="45" t="s">
        <v>504</v>
      </c>
      <c r="G70" s="47" t="s">
        <v>472</v>
      </c>
      <c r="H70" s="45"/>
      <c r="I70" s="45"/>
    </row>
    <row r="71" spans="1:9" x14ac:dyDescent="0.2">
      <c r="A71" s="44" t="s">
        <v>111</v>
      </c>
      <c r="B71" s="45" t="s">
        <v>112</v>
      </c>
      <c r="C71" s="45">
        <v>1700</v>
      </c>
      <c r="D71" s="45" t="s">
        <v>472</v>
      </c>
      <c r="E71" s="45" t="s">
        <v>472</v>
      </c>
      <c r="F71" s="45" t="s">
        <v>504</v>
      </c>
      <c r="G71" s="47" t="s">
        <v>472</v>
      </c>
      <c r="H71" s="45"/>
      <c r="I71" s="45"/>
    </row>
    <row r="72" spans="1:9" x14ac:dyDescent="0.2">
      <c r="A72" s="44" t="s">
        <v>25</v>
      </c>
      <c r="B72" s="45" t="s">
        <v>26</v>
      </c>
      <c r="C72" s="45">
        <v>3300</v>
      </c>
      <c r="D72" s="45" t="s">
        <v>472</v>
      </c>
      <c r="E72" s="45" t="s">
        <v>472</v>
      </c>
      <c r="F72" s="45" t="s">
        <v>504</v>
      </c>
      <c r="G72" s="47" t="s">
        <v>472</v>
      </c>
      <c r="H72" s="45"/>
      <c r="I72" s="45"/>
    </row>
    <row r="73" spans="1:9" x14ac:dyDescent="0.2">
      <c r="A73" s="44" t="s">
        <v>23</v>
      </c>
      <c r="B73" s="45" t="s">
        <v>24</v>
      </c>
      <c r="C73" s="45">
        <v>1600</v>
      </c>
      <c r="D73" s="45" t="s">
        <v>472</v>
      </c>
      <c r="E73" s="45" t="s">
        <v>472</v>
      </c>
      <c r="F73" s="45" t="s">
        <v>504</v>
      </c>
      <c r="G73" s="47" t="s">
        <v>472</v>
      </c>
      <c r="H73" s="45"/>
      <c r="I73" s="45"/>
    </row>
    <row r="74" spans="1:9" x14ac:dyDescent="0.2">
      <c r="A74" s="44" t="s">
        <v>21</v>
      </c>
      <c r="B74" s="45" t="s">
        <v>22</v>
      </c>
      <c r="C74" s="45">
        <v>2000</v>
      </c>
      <c r="D74" s="45" t="s">
        <v>472</v>
      </c>
      <c r="E74" s="45" t="s">
        <v>472</v>
      </c>
      <c r="F74" s="45" t="s">
        <v>504</v>
      </c>
      <c r="G74" s="47" t="s">
        <v>472</v>
      </c>
      <c r="H74" s="45"/>
      <c r="I74" s="45"/>
    </row>
    <row r="75" spans="1:9" x14ac:dyDescent="0.2">
      <c r="A75" s="44" t="s">
        <v>135</v>
      </c>
      <c r="B75" s="45" t="s">
        <v>136</v>
      </c>
      <c r="C75" s="45">
        <v>1500</v>
      </c>
      <c r="D75" s="45" t="s">
        <v>472</v>
      </c>
      <c r="E75" s="45" t="s">
        <v>472</v>
      </c>
      <c r="F75" s="45" t="s">
        <v>504</v>
      </c>
      <c r="G75" s="47" t="s">
        <v>472</v>
      </c>
      <c r="H75" s="45"/>
      <c r="I75" s="45"/>
    </row>
    <row r="76" spans="1:9" x14ac:dyDescent="0.2">
      <c r="A76" s="44" t="s">
        <v>137</v>
      </c>
      <c r="B76" s="45" t="s">
        <v>138</v>
      </c>
      <c r="C76" s="45">
        <v>500</v>
      </c>
      <c r="D76" s="45" t="s">
        <v>472</v>
      </c>
      <c r="E76" s="45" t="s">
        <v>472</v>
      </c>
      <c r="F76" s="45" t="s">
        <v>504</v>
      </c>
      <c r="G76" s="47" t="s">
        <v>472</v>
      </c>
      <c r="H76" s="45"/>
      <c r="I76" s="45"/>
    </row>
    <row r="77" spans="1:9" x14ac:dyDescent="0.2">
      <c r="A77" s="44" t="s">
        <v>139</v>
      </c>
      <c r="B77" s="45" t="s">
        <v>140</v>
      </c>
      <c r="C77" s="45">
        <v>350</v>
      </c>
      <c r="D77" s="45" t="s">
        <v>472</v>
      </c>
      <c r="E77" s="45" t="s">
        <v>472</v>
      </c>
      <c r="F77" s="45" t="s">
        <v>504</v>
      </c>
      <c r="G77" s="47" t="s">
        <v>472</v>
      </c>
      <c r="H77" s="45"/>
      <c r="I77" s="45"/>
    </row>
    <row r="78" spans="1:9" x14ac:dyDescent="0.2">
      <c r="A78" s="44" t="s">
        <v>11</v>
      </c>
      <c r="B78" s="45" t="s">
        <v>12</v>
      </c>
      <c r="C78" s="45">
        <v>200</v>
      </c>
      <c r="D78" s="45" t="s">
        <v>472</v>
      </c>
      <c r="E78" s="45" t="s">
        <v>472</v>
      </c>
      <c r="F78" s="45" t="s">
        <v>504</v>
      </c>
      <c r="G78" s="47" t="s">
        <v>472</v>
      </c>
      <c r="H78" s="45"/>
      <c r="I78" s="45"/>
    </row>
    <row r="79" spans="1:9" x14ac:dyDescent="0.2">
      <c r="A79" s="44" t="s">
        <v>141</v>
      </c>
      <c r="B79" s="45" t="s">
        <v>142</v>
      </c>
      <c r="C79" s="45">
        <v>350</v>
      </c>
      <c r="D79" s="45" t="s">
        <v>472</v>
      </c>
      <c r="E79" s="45" t="s">
        <v>472</v>
      </c>
      <c r="F79" s="45" t="s">
        <v>504</v>
      </c>
      <c r="G79" s="47" t="s">
        <v>472</v>
      </c>
      <c r="H79" s="45"/>
      <c r="I79" s="45"/>
    </row>
    <row r="80" spans="1:9" x14ac:dyDescent="0.2">
      <c r="A80" s="44" t="s">
        <v>27</v>
      </c>
      <c r="B80" s="45" t="s">
        <v>28</v>
      </c>
      <c r="C80" s="45">
        <v>250</v>
      </c>
      <c r="D80" s="45" t="s">
        <v>472</v>
      </c>
      <c r="E80" s="45" t="s">
        <v>472</v>
      </c>
      <c r="F80" s="45" t="s">
        <v>504</v>
      </c>
      <c r="G80" s="47" t="s">
        <v>472</v>
      </c>
      <c r="H80" s="45"/>
      <c r="I80" s="45"/>
    </row>
    <row r="81" spans="1:9" x14ac:dyDescent="0.2">
      <c r="A81" s="44" t="s">
        <v>155</v>
      </c>
      <c r="B81" s="45" t="s">
        <v>156</v>
      </c>
      <c r="C81" s="45">
        <v>100</v>
      </c>
      <c r="D81" s="45" t="s">
        <v>472</v>
      </c>
      <c r="E81" s="45" t="s">
        <v>472</v>
      </c>
      <c r="F81" s="45" t="s">
        <v>504</v>
      </c>
      <c r="G81" s="47" t="s">
        <v>472</v>
      </c>
      <c r="H81" s="45"/>
      <c r="I81" s="45"/>
    </row>
    <row r="82" spans="1:9" x14ac:dyDescent="0.2">
      <c r="A82" s="44" t="s">
        <v>157</v>
      </c>
      <c r="B82" s="45" t="s">
        <v>158</v>
      </c>
      <c r="C82" s="45">
        <v>300</v>
      </c>
      <c r="D82" s="45" t="s">
        <v>472</v>
      </c>
      <c r="E82" s="45" t="s">
        <v>472</v>
      </c>
      <c r="F82" s="45" t="s">
        <v>504</v>
      </c>
      <c r="G82" s="47" t="s">
        <v>472</v>
      </c>
      <c r="H82" s="45"/>
      <c r="I82" s="45"/>
    </row>
    <row r="83" spans="1:9" x14ac:dyDescent="0.2">
      <c r="A83" s="44" t="s">
        <v>165</v>
      </c>
      <c r="B83" s="45" t="s">
        <v>166</v>
      </c>
      <c r="C83" s="45">
        <v>250</v>
      </c>
      <c r="D83" s="45" t="s">
        <v>472</v>
      </c>
      <c r="E83" s="45" t="s">
        <v>472</v>
      </c>
      <c r="F83" s="45" t="s">
        <v>504</v>
      </c>
      <c r="G83" s="47" t="s">
        <v>472</v>
      </c>
      <c r="H83" s="45"/>
      <c r="I83" s="45"/>
    </row>
    <row r="84" spans="1:9" x14ac:dyDescent="0.2">
      <c r="A84" s="44" t="s">
        <v>217</v>
      </c>
      <c r="B84" s="45" t="s">
        <v>218</v>
      </c>
      <c r="C84" s="45">
        <v>500</v>
      </c>
      <c r="D84" s="45" t="s">
        <v>472</v>
      </c>
      <c r="E84" s="45" t="s">
        <v>472</v>
      </c>
      <c r="F84" s="45" t="s">
        <v>504</v>
      </c>
      <c r="G84" s="47" t="s">
        <v>472</v>
      </c>
      <c r="H84" s="45"/>
      <c r="I84" s="45"/>
    </row>
    <row r="85" spans="1:9" x14ac:dyDescent="0.2">
      <c r="A85" s="44" t="s">
        <v>19</v>
      </c>
      <c r="B85" s="45" t="s">
        <v>20</v>
      </c>
      <c r="C85" s="45">
        <v>100</v>
      </c>
      <c r="D85" s="45" t="s">
        <v>472</v>
      </c>
      <c r="E85" s="45" t="s">
        <v>472</v>
      </c>
      <c r="F85" s="45" t="s">
        <v>504</v>
      </c>
      <c r="G85" s="47" t="s">
        <v>472</v>
      </c>
      <c r="H85" s="45"/>
      <c r="I85" s="45"/>
    </row>
    <row r="86" spans="1:9" x14ac:dyDescent="0.2">
      <c r="A86" s="44" t="s">
        <v>265</v>
      </c>
      <c r="B86" s="45" t="s">
        <v>266</v>
      </c>
      <c r="C86" s="45">
        <v>29560</v>
      </c>
      <c r="D86" s="45">
        <v>3100018750</v>
      </c>
      <c r="E86" s="45" t="s">
        <v>472</v>
      </c>
      <c r="F86" s="45" t="s">
        <v>528</v>
      </c>
      <c r="G86" s="47">
        <v>44944</v>
      </c>
      <c r="H86" s="45"/>
      <c r="I86" s="45"/>
    </row>
    <row r="87" spans="1:9" x14ac:dyDescent="0.2">
      <c r="A87" s="44" t="s">
        <v>289</v>
      </c>
      <c r="B87" s="45" t="s">
        <v>290</v>
      </c>
      <c r="C87" s="45">
        <v>10000</v>
      </c>
      <c r="D87" s="45">
        <v>3100021542</v>
      </c>
      <c r="E87" s="45" t="s">
        <v>472</v>
      </c>
      <c r="F87" s="45" t="s">
        <v>479</v>
      </c>
      <c r="G87" s="47">
        <v>45188</v>
      </c>
      <c r="H87" s="45"/>
      <c r="I87" s="45"/>
    </row>
    <row r="88" spans="1:9" x14ac:dyDescent="0.2">
      <c r="A88" s="44" t="s">
        <v>39</v>
      </c>
      <c r="B88" s="45" t="s">
        <v>40</v>
      </c>
      <c r="C88" s="45">
        <v>500</v>
      </c>
      <c r="D88" s="45">
        <v>3100021638</v>
      </c>
      <c r="E88" s="45" t="s">
        <v>531</v>
      </c>
      <c r="F88" s="45" t="s">
        <v>532</v>
      </c>
      <c r="G88" s="47">
        <v>45195</v>
      </c>
      <c r="H88" s="45"/>
      <c r="I88" s="45"/>
    </row>
    <row r="89" spans="1:9" x14ac:dyDescent="0.2">
      <c r="A89" s="44" t="s">
        <v>41</v>
      </c>
      <c r="B89" s="45" t="s">
        <v>42</v>
      </c>
      <c r="C89" s="45">
        <v>250</v>
      </c>
      <c r="D89" s="45">
        <v>3100021638</v>
      </c>
      <c r="E89" s="45" t="s">
        <v>531</v>
      </c>
      <c r="F89" s="45" t="s">
        <v>532</v>
      </c>
      <c r="G89" s="47">
        <v>45195</v>
      </c>
      <c r="H89" s="45"/>
      <c r="I89" s="45"/>
    </row>
    <row r="90" spans="1:9" x14ac:dyDescent="0.2">
      <c r="A90" s="44" t="s">
        <v>37</v>
      </c>
      <c r="B90" s="45" t="s">
        <v>38</v>
      </c>
      <c r="C90" s="45">
        <v>1100</v>
      </c>
      <c r="D90" s="45">
        <v>3100021638</v>
      </c>
      <c r="E90" s="45" t="s">
        <v>531</v>
      </c>
      <c r="F90" s="45" t="s">
        <v>532</v>
      </c>
      <c r="G90" s="47">
        <v>45195</v>
      </c>
      <c r="H90" s="45"/>
      <c r="I90" s="45"/>
    </row>
    <row r="91" spans="1:9" x14ac:dyDescent="0.2">
      <c r="A91" s="44" t="s">
        <v>61</v>
      </c>
      <c r="B91" s="45" t="s">
        <v>62</v>
      </c>
      <c r="C91" s="45">
        <v>635</v>
      </c>
      <c r="D91" s="45">
        <v>3100021638</v>
      </c>
      <c r="E91" s="45" t="s">
        <v>531</v>
      </c>
      <c r="F91" s="45" t="s">
        <v>532</v>
      </c>
      <c r="G91" s="47">
        <v>45195</v>
      </c>
      <c r="H91" s="45"/>
      <c r="I91" s="45"/>
    </row>
    <row r="92" spans="1:9" x14ac:dyDescent="0.2">
      <c r="A92" s="44" t="s">
        <v>63</v>
      </c>
      <c r="B92" s="45" t="s">
        <v>64</v>
      </c>
      <c r="C92" s="45">
        <v>5500</v>
      </c>
      <c r="D92" s="45">
        <v>3100021638</v>
      </c>
      <c r="E92" s="45" t="s">
        <v>531</v>
      </c>
      <c r="F92" s="45" t="s">
        <v>532</v>
      </c>
      <c r="G92" s="47">
        <v>45195</v>
      </c>
      <c r="H92" s="45"/>
      <c r="I92" s="45"/>
    </row>
    <row r="93" spans="1:9" x14ac:dyDescent="0.2">
      <c r="A93" s="44" t="s">
        <v>65</v>
      </c>
      <c r="B93" s="45" t="s">
        <v>66</v>
      </c>
      <c r="C93" s="45">
        <v>2500</v>
      </c>
      <c r="D93" s="45">
        <v>3100021638</v>
      </c>
      <c r="E93" s="45" t="s">
        <v>531</v>
      </c>
      <c r="F93" s="45" t="s">
        <v>532</v>
      </c>
      <c r="G93" s="47">
        <v>45195</v>
      </c>
      <c r="H93" s="45"/>
      <c r="I93" s="45"/>
    </row>
    <row r="94" spans="1:9" x14ac:dyDescent="0.2">
      <c r="A94" s="44" t="s">
        <v>443</v>
      </c>
      <c r="B94" s="45" t="s">
        <v>444</v>
      </c>
      <c r="C94" s="45">
        <v>8266</v>
      </c>
      <c r="D94" s="45">
        <v>3100021618</v>
      </c>
      <c r="E94" s="45" t="s">
        <v>586</v>
      </c>
      <c r="F94" s="45" t="s">
        <v>587</v>
      </c>
      <c r="G94" s="47">
        <v>45237</v>
      </c>
      <c r="H94" s="45"/>
      <c r="I94" s="45"/>
    </row>
    <row r="95" spans="1:9" x14ac:dyDescent="0.2">
      <c r="A95" s="44" t="s">
        <v>441</v>
      </c>
      <c r="B95" s="45" t="s">
        <v>442</v>
      </c>
      <c r="C95" s="45">
        <v>336</v>
      </c>
      <c r="D95" s="45">
        <v>3100021618</v>
      </c>
      <c r="E95" s="45" t="s">
        <v>586</v>
      </c>
      <c r="F95" s="45" t="s">
        <v>587</v>
      </c>
      <c r="G95" s="47">
        <v>45237</v>
      </c>
      <c r="H95" s="45"/>
      <c r="I95" s="45"/>
    </row>
    <row r="96" spans="1:9" x14ac:dyDescent="0.2">
      <c r="A96" s="44" t="s">
        <v>439</v>
      </c>
      <c r="B96" s="45" t="s">
        <v>440</v>
      </c>
      <c r="C96" s="45">
        <v>1412</v>
      </c>
      <c r="D96" s="45">
        <v>3100021618</v>
      </c>
      <c r="E96" s="45" t="s">
        <v>586</v>
      </c>
      <c r="F96" s="45" t="s">
        <v>587</v>
      </c>
      <c r="G96" s="47">
        <v>45237</v>
      </c>
      <c r="H96" s="45"/>
      <c r="I96" s="45"/>
    </row>
    <row r="97" spans="1:9" x14ac:dyDescent="0.2">
      <c r="A97" s="44" t="s">
        <v>437</v>
      </c>
      <c r="B97" s="45" t="s">
        <v>438</v>
      </c>
      <c r="C97" s="45">
        <v>202</v>
      </c>
      <c r="D97" s="45">
        <v>3100021618</v>
      </c>
      <c r="E97" s="45" t="s">
        <v>586</v>
      </c>
      <c r="F97" s="45" t="s">
        <v>587</v>
      </c>
      <c r="G97" s="47">
        <v>45237</v>
      </c>
      <c r="H97" s="45"/>
      <c r="I97" s="45"/>
    </row>
    <row r="98" spans="1:9" x14ac:dyDescent="0.2">
      <c r="A98" s="45" t="s">
        <v>694</v>
      </c>
      <c r="B98" s="45" t="s">
        <v>579</v>
      </c>
      <c r="C98" s="48">
        <v>250</v>
      </c>
      <c r="D98" s="49">
        <v>3100021083</v>
      </c>
      <c r="E98" s="50" t="s">
        <v>580</v>
      </c>
      <c r="F98" s="51" t="s">
        <v>504</v>
      </c>
      <c r="G98" s="52">
        <v>45172</v>
      </c>
      <c r="H98" s="45"/>
      <c r="I98" s="45"/>
    </row>
    <row r="99" spans="1:9" x14ac:dyDescent="0.2">
      <c r="A99" s="45" t="s">
        <v>711</v>
      </c>
      <c r="B99" s="45" t="s">
        <v>712</v>
      </c>
      <c r="C99" s="48">
        <v>22</v>
      </c>
      <c r="D99" s="49">
        <v>3200001147</v>
      </c>
      <c r="E99" s="50" t="s">
        <v>472</v>
      </c>
      <c r="F99" s="51" t="s">
        <v>631</v>
      </c>
      <c r="G99" s="52">
        <v>45176</v>
      </c>
      <c r="H99" s="45"/>
      <c r="I99" s="45"/>
    </row>
    <row r="100" spans="1:9" x14ac:dyDescent="0.2">
      <c r="A100" s="45" t="s">
        <v>711</v>
      </c>
      <c r="B100" s="45" t="s">
        <v>712</v>
      </c>
      <c r="C100" s="48">
        <v>10</v>
      </c>
      <c r="D100" s="49">
        <v>3200001147</v>
      </c>
      <c r="E100" s="50" t="s">
        <v>472</v>
      </c>
      <c r="F100" s="51" t="s">
        <v>631</v>
      </c>
      <c r="G100" s="52">
        <v>45176</v>
      </c>
      <c r="H100" s="45"/>
      <c r="I100" s="45"/>
    </row>
    <row r="101" spans="1:9" x14ac:dyDescent="0.2">
      <c r="A101" s="45" t="s">
        <v>720</v>
      </c>
      <c r="B101" s="45" t="s">
        <v>653</v>
      </c>
      <c r="C101" s="48">
        <v>4</v>
      </c>
      <c r="D101" s="49">
        <v>3100021615</v>
      </c>
      <c r="E101" s="50" t="s">
        <v>654</v>
      </c>
      <c r="F101" s="51" t="s">
        <v>655</v>
      </c>
      <c r="G101" s="52">
        <v>45177</v>
      </c>
      <c r="H101" s="45"/>
      <c r="I101" s="45"/>
    </row>
    <row r="102" spans="1:9" x14ac:dyDescent="0.2">
      <c r="A102" s="45" t="s">
        <v>721</v>
      </c>
      <c r="B102" s="45" t="s">
        <v>622</v>
      </c>
      <c r="C102" s="48">
        <v>48</v>
      </c>
      <c r="D102" s="49">
        <v>3100021234</v>
      </c>
      <c r="E102" s="50" t="s">
        <v>518</v>
      </c>
      <c r="F102" s="51" t="s">
        <v>500</v>
      </c>
      <c r="G102" s="52">
        <v>45177</v>
      </c>
      <c r="H102" s="45"/>
      <c r="I102" s="45"/>
    </row>
    <row r="103" spans="1:9" x14ac:dyDescent="0.2">
      <c r="A103" s="45" t="s">
        <v>722</v>
      </c>
      <c r="B103" s="45" t="s">
        <v>723</v>
      </c>
      <c r="C103" s="48">
        <v>21000</v>
      </c>
      <c r="D103" s="49">
        <v>3300000149</v>
      </c>
      <c r="E103" s="50" t="s">
        <v>472</v>
      </c>
      <c r="F103" s="51" t="s">
        <v>623</v>
      </c>
      <c r="G103" s="52">
        <v>45180</v>
      </c>
      <c r="H103" s="45"/>
      <c r="I103" s="45"/>
    </row>
    <row r="104" spans="1:9" x14ac:dyDescent="0.2">
      <c r="A104" s="45" t="s">
        <v>729</v>
      </c>
      <c r="B104" s="45" t="s">
        <v>730</v>
      </c>
      <c r="C104" s="48">
        <v>1500</v>
      </c>
      <c r="D104" s="49">
        <v>3300000149</v>
      </c>
      <c r="E104" s="50" t="s">
        <v>472</v>
      </c>
      <c r="F104" s="51" t="s">
        <v>623</v>
      </c>
      <c r="G104" s="52">
        <v>45180</v>
      </c>
      <c r="H104" s="45"/>
      <c r="I104" s="45"/>
    </row>
    <row r="105" spans="1:9" x14ac:dyDescent="0.2">
      <c r="A105" s="45" t="s">
        <v>737</v>
      </c>
      <c r="B105" s="45" t="s">
        <v>738</v>
      </c>
      <c r="C105" s="48">
        <v>19000</v>
      </c>
      <c r="D105" s="49">
        <v>3300000149</v>
      </c>
      <c r="E105" s="50" t="s">
        <v>472</v>
      </c>
      <c r="F105" s="51" t="s">
        <v>623</v>
      </c>
      <c r="G105" s="52">
        <v>45180</v>
      </c>
      <c r="H105" s="45"/>
      <c r="I105" s="45"/>
    </row>
    <row r="106" spans="1:9" x14ac:dyDescent="0.2">
      <c r="A106" s="45" t="s">
        <v>737</v>
      </c>
      <c r="B106" s="45" t="s">
        <v>738</v>
      </c>
      <c r="C106" s="48">
        <v>241</v>
      </c>
      <c r="D106" s="49">
        <v>3300000149</v>
      </c>
      <c r="E106" s="50" t="s">
        <v>472</v>
      </c>
      <c r="F106" s="51" t="s">
        <v>623</v>
      </c>
      <c r="G106" s="52">
        <v>45180</v>
      </c>
      <c r="H106" s="45"/>
      <c r="I106" s="45"/>
    </row>
    <row r="107" spans="1:9" x14ac:dyDescent="0.2">
      <c r="A107" s="45" t="s">
        <v>722</v>
      </c>
      <c r="B107" s="45" t="s">
        <v>723</v>
      </c>
      <c r="C107" s="48">
        <v>868</v>
      </c>
      <c r="D107" s="49">
        <v>3300000149</v>
      </c>
      <c r="E107" s="50" t="s">
        <v>472</v>
      </c>
      <c r="F107" s="51" t="s">
        <v>623</v>
      </c>
      <c r="G107" s="52">
        <v>45180</v>
      </c>
      <c r="H107" s="45"/>
      <c r="I107" s="45"/>
    </row>
    <row r="108" spans="1:9" x14ac:dyDescent="0.2">
      <c r="A108" s="45" t="s">
        <v>762</v>
      </c>
      <c r="B108" s="45" t="s">
        <v>583</v>
      </c>
      <c r="C108" s="48">
        <v>6</v>
      </c>
      <c r="D108" s="49">
        <v>3100021366</v>
      </c>
      <c r="E108" s="50" t="s">
        <v>584</v>
      </c>
      <c r="F108" s="51" t="s">
        <v>585</v>
      </c>
      <c r="G108" s="52">
        <v>45181</v>
      </c>
      <c r="H108" s="45"/>
      <c r="I108" s="45"/>
    </row>
    <row r="109" spans="1:9" x14ac:dyDescent="0.2">
      <c r="A109" s="45" t="s">
        <v>780</v>
      </c>
      <c r="B109" s="45" t="s">
        <v>575</v>
      </c>
      <c r="C109" s="48">
        <v>250</v>
      </c>
      <c r="D109" s="49">
        <v>3100021630</v>
      </c>
      <c r="E109" s="49" t="s">
        <v>576</v>
      </c>
      <c r="F109" s="49" t="s">
        <v>504</v>
      </c>
      <c r="G109" s="52">
        <v>45189</v>
      </c>
      <c r="H109" s="45"/>
      <c r="I109" s="45"/>
    </row>
    <row r="110" spans="1:9" x14ac:dyDescent="0.2">
      <c r="A110" s="45" t="s">
        <v>780</v>
      </c>
      <c r="B110" s="45" t="s">
        <v>575</v>
      </c>
      <c r="C110" s="48">
        <v>200</v>
      </c>
      <c r="D110" s="49">
        <v>3100021630</v>
      </c>
      <c r="E110" s="49" t="s">
        <v>576</v>
      </c>
      <c r="F110" s="49" t="s">
        <v>504</v>
      </c>
      <c r="G110" s="52">
        <v>45189</v>
      </c>
      <c r="H110" s="45"/>
      <c r="I110" s="45"/>
    </row>
    <row r="111" spans="1:9" x14ac:dyDescent="0.2">
      <c r="A111" s="45" t="s">
        <v>787</v>
      </c>
      <c r="B111" s="45" t="s">
        <v>788</v>
      </c>
      <c r="C111" s="48">
        <v>5610</v>
      </c>
      <c r="D111" s="49">
        <v>3100021538</v>
      </c>
      <c r="E111" s="50" t="s">
        <v>480</v>
      </c>
      <c r="F111" s="51" t="s">
        <v>481</v>
      </c>
      <c r="G111" s="52">
        <v>45189</v>
      </c>
      <c r="H111" s="45"/>
      <c r="I111" s="45"/>
    </row>
    <row r="112" spans="1:9" x14ac:dyDescent="0.2">
      <c r="A112" s="45" t="s">
        <v>787</v>
      </c>
      <c r="B112" s="45" t="s">
        <v>788</v>
      </c>
      <c r="C112" s="48">
        <v>670</v>
      </c>
      <c r="D112" s="49">
        <v>3100021538</v>
      </c>
      <c r="E112" s="50" t="s">
        <v>480</v>
      </c>
      <c r="F112" s="51" t="s">
        <v>481</v>
      </c>
      <c r="G112" s="52">
        <v>45189</v>
      </c>
      <c r="H112" s="45"/>
      <c r="I112" s="45"/>
    </row>
    <row r="113" spans="1:9" x14ac:dyDescent="0.2">
      <c r="A113" s="44" t="s">
        <v>457</v>
      </c>
      <c r="B113" s="45" t="s">
        <v>458</v>
      </c>
      <c r="C113" s="45">
        <v>2100</v>
      </c>
      <c r="D113" s="49">
        <v>3100021630</v>
      </c>
      <c r="E113" s="49" t="s">
        <v>576</v>
      </c>
      <c r="F113" s="49" t="s">
        <v>504</v>
      </c>
      <c r="G113" s="47">
        <v>45189</v>
      </c>
      <c r="H113" s="45"/>
      <c r="I113" s="45"/>
    </row>
    <row r="114" spans="1:9" x14ac:dyDescent="0.2">
      <c r="A114" s="45" t="s">
        <v>800</v>
      </c>
      <c r="B114" s="45" t="s">
        <v>801</v>
      </c>
      <c r="C114" s="48">
        <v>125</v>
      </c>
      <c r="D114" s="49">
        <v>3100021463</v>
      </c>
      <c r="E114" s="50" t="s">
        <v>514</v>
      </c>
      <c r="F114" s="51" t="s">
        <v>481</v>
      </c>
      <c r="G114" s="52">
        <v>45198</v>
      </c>
      <c r="H114" s="45"/>
      <c r="I114" s="45"/>
    </row>
    <row r="115" spans="1:9" x14ac:dyDescent="0.2">
      <c r="A115" s="45" t="s">
        <v>802</v>
      </c>
      <c r="B115" s="45" t="s">
        <v>803</v>
      </c>
      <c r="C115" s="48">
        <v>740</v>
      </c>
      <c r="D115" s="49">
        <v>3100021463</v>
      </c>
      <c r="E115" s="50" t="s">
        <v>514</v>
      </c>
      <c r="F115" s="51" t="s">
        <v>481</v>
      </c>
      <c r="G115" s="52">
        <v>45198</v>
      </c>
      <c r="H115" s="45"/>
      <c r="I115" s="45"/>
    </row>
    <row r="116" spans="1:9" x14ac:dyDescent="0.2">
      <c r="A116" s="45" t="s">
        <v>802</v>
      </c>
      <c r="B116" s="45" t="s">
        <v>803</v>
      </c>
      <c r="C116" s="48">
        <v>25</v>
      </c>
      <c r="D116" s="49">
        <v>3100021463</v>
      </c>
      <c r="E116" s="50" t="s">
        <v>514</v>
      </c>
      <c r="F116" s="51" t="s">
        <v>481</v>
      </c>
      <c r="G116" s="52">
        <v>45198</v>
      </c>
      <c r="H116" s="45"/>
      <c r="I116" s="45"/>
    </row>
    <row r="117" spans="1:9" x14ac:dyDescent="0.2">
      <c r="A117" s="45" t="s">
        <v>804</v>
      </c>
      <c r="B117" s="45" t="s">
        <v>805</v>
      </c>
      <c r="C117" s="48">
        <v>149</v>
      </c>
      <c r="D117" s="49">
        <v>3100021463</v>
      </c>
      <c r="E117" s="50" t="s">
        <v>514</v>
      </c>
      <c r="F117" s="51" t="s">
        <v>481</v>
      </c>
      <c r="G117" s="52">
        <v>45198</v>
      </c>
      <c r="H117" s="45"/>
      <c r="I117" s="45"/>
    </row>
    <row r="118" spans="1:9" x14ac:dyDescent="0.2">
      <c r="A118" s="45" t="s">
        <v>301</v>
      </c>
      <c r="B118" s="45" t="s">
        <v>302</v>
      </c>
      <c r="C118" s="48">
        <v>19</v>
      </c>
      <c r="D118" s="49">
        <v>3100021463</v>
      </c>
      <c r="E118" s="50" t="s">
        <v>514</v>
      </c>
      <c r="F118" s="51" t="s">
        <v>481</v>
      </c>
      <c r="G118" s="52">
        <v>45198</v>
      </c>
      <c r="H118" s="45"/>
      <c r="I118" s="45"/>
    </row>
    <row r="119" spans="1:9" x14ac:dyDescent="0.2">
      <c r="A119" s="45" t="s">
        <v>808</v>
      </c>
      <c r="B119" s="45" t="s">
        <v>538</v>
      </c>
      <c r="C119" s="48">
        <v>500</v>
      </c>
      <c r="D119" s="49">
        <v>3100021412</v>
      </c>
      <c r="E119" s="50" t="s">
        <v>472</v>
      </c>
      <c r="F119" s="51" t="s">
        <v>508</v>
      </c>
      <c r="G119" s="52">
        <v>45198</v>
      </c>
      <c r="H119" s="45"/>
      <c r="I119" s="45"/>
    </row>
    <row r="120" spans="1:9" x14ac:dyDescent="0.2">
      <c r="A120" s="45" t="s">
        <v>809</v>
      </c>
      <c r="B120" s="45" t="s">
        <v>565</v>
      </c>
      <c r="C120" s="48">
        <v>400</v>
      </c>
      <c r="D120" s="49">
        <v>3100021412</v>
      </c>
      <c r="E120" s="50" t="s">
        <v>472</v>
      </c>
      <c r="F120" s="51" t="s">
        <v>508</v>
      </c>
      <c r="G120" s="52">
        <v>45198</v>
      </c>
      <c r="H120" s="45"/>
      <c r="I120" s="45"/>
    </row>
    <row r="121" spans="1:9" x14ac:dyDescent="0.2">
      <c r="A121" s="45" t="s">
        <v>810</v>
      </c>
      <c r="B121" s="45" t="s">
        <v>811</v>
      </c>
      <c r="C121" s="48">
        <v>388</v>
      </c>
      <c r="D121" s="49">
        <v>3100021463</v>
      </c>
      <c r="E121" s="50" t="s">
        <v>514</v>
      </c>
      <c r="F121" s="51" t="s">
        <v>481</v>
      </c>
      <c r="G121" s="52">
        <v>45198</v>
      </c>
      <c r="H121" s="45"/>
      <c r="I121" s="45"/>
    </row>
    <row r="122" spans="1:9" x14ac:dyDescent="0.2">
      <c r="A122" s="45" t="s">
        <v>821</v>
      </c>
      <c r="B122" s="45" t="s">
        <v>590</v>
      </c>
      <c r="C122" s="48">
        <v>138</v>
      </c>
      <c r="D122" s="49">
        <v>3100021262</v>
      </c>
      <c r="E122" s="50" t="s">
        <v>472</v>
      </c>
      <c r="F122" s="51" t="s">
        <v>473</v>
      </c>
      <c r="G122" s="52">
        <v>45201</v>
      </c>
      <c r="H122" s="45"/>
      <c r="I122" s="45"/>
    </row>
    <row r="123" spans="1:9" x14ac:dyDescent="0.2">
      <c r="A123" s="45" t="s">
        <v>822</v>
      </c>
      <c r="B123" s="45" t="s">
        <v>823</v>
      </c>
      <c r="C123" s="48">
        <v>15</v>
      </c>
      <c r="D123" s="49">
        <v>3100021586</v>
      </c>
      <c r="E123" s="50" t="s">
        <v>569</v>
      </c>
      <c r="F123" s="51" t="s">
        <v>570</v>
      </c>
      <c r="G123" s="52">
        <v>45201</v>
      </c>
      <c r="H123" s="45"/>
      <c r="I123" s="45"/>
    </row>
    <row r="124" spans="1:9" x14ac:dyDescent="0.2">
      <c r="A124" s="45" t="s">
        <v>822</v>
      </c>
      <c r="B124" s="45" t="s">
        <v>823</v>
      </c>
      <c r="C124" s="48">
        <v>1470</v>
      </c>
      <c r="D124" s="49">
        <v>3100021586</v>
      </c>
      <c r="E124" s="50" t="s">
        <v>569</v>
      </c>
      <c r="F124" s="51" t="s">
        <v>570</v>
      </c>
      <c r="G124" s="52">
        <v>45201</v>
      </c>
      <c r="H124" s="45"/>
      <c r="I124" s="45"/>
    </row>
    <row r="125" spans="1:9" x14ac:dyDescent="0.2">
      <c r="A125" s="45" t="s">
        <v>824</v>
      </c>
      <c r="B125" s="45" t="s">
        <v>825</v>
      </c>
      <c r="C125" s="48">
        <v>96</v>
      </c>
      <c r="D125" s="49">
        <v>3100021586</v>
      </c>
      <c r="E125" s="50" t="s">
        <v>569</v>
      </c>
      <c r="F125" s="51" t="s">
        <v>570</v>
      </c>
      <c r="G125" s="52">
        <v>45201</v>
      </c>
      <c r="H125" s="45"/>
      <c r="I125" s="45"/>
    </row>
    <row r="126" spans="1:9" x14ac:dyDescent="0.2">
      <c r="A126" s="45" t="s">
        <v>826</v>
      </c>
      <c r="B126" s="45" t="s">
        <v>827</v>
      </c>
      <c r="C126" s="48">
        <v>40</v>
      </c>
      <c r="D126" s="49">
        <v>3100021586</v>
      </c>
      <c r="E126" s="50" t="s">
        <v>569</v>
      </c>
      <c r="F126" s="51" t="s">
        <v>570</v>
      </c>
      <c r="G126" s="52">
        <v>45201</v>
      </c>
      <c r="H126" s="45"/>
      <c r="I126" s="45"/>
    </row>
    <row r="127" spans="1:9" x14ac:dyDescent="0.2">
      <c r="A127" s="45" t="s">
        <v>832</v>
      </c>
      <c r="B127" s="45" t="s">
        <v>833</v>
      </c>
      <c r="C127" s="48">
        <v>24</v>
      </c>
      <c r="D127" s="49">
        <v>3100021589</v>
      </c>
      <c r="E127" s="50" t="s">
        <v>571</v>
      </c>
      <c r="F127" s="51" t="s">
        <v>572</v>
      </c>
      <c r="G127" s="52">
        <v>45201</v>
      </c>
      <c r="H127" s="45"/>
      <c r="I127" s="45"/>
    </row>
    <row r="128" spans="1:9" x14ac:dyDescent="0.2">
      <c r="A128" s="45" t="s">
        <v>822</v>
      </c>
      <c r="B128" s="45" t="s">
        <v>823</v>
      </c>
      <c r="C128" s="48">
        <v>122</v>
      </c>
      <c r="D128" s="49">
        <v>3100021586</v>
      </c>
      <c r="E128" s="50" t="s">
        <v>569</v>
      </c>
      <c r="F128" s="51" t="s">
        <v>570</v>
      </c>
      <c r="G128" s="52">
        <v>45201</v>
      </c>
      <c r="H128" s="45"/>
      <c r="I128" s="45"/>
    </row>
    <row r="129" spans="1:9" x14ac:dyDescent="0.2">
      <c r="A129" s="45" t="s">
        <v>850</v>
      </c>
      <c r="B129" s="45" t="s">
        <v>851</v>
      </c>
      <c r="C129" s="48">
        <v>9</v>
      </c>
      <c r="D129" s="49">
        <v>3100021567</v>
      </c>
      <c r="E129" s="50" t="s">
        <v>484</v>
      </c>
      <c r="F129" s="51" t="s">
        <v>481</v>
      </c>
      <c r="G129" s="52">
        <v>45205</v>
      </c>
      <c r="H129" s="45"/>
      <c r="I129" s="45"/>
    </row>
    <row r="130" spans="1:9" x14ac:dyDescent="0.2">
      <c r="A130" s="45" t="s">
        <v>852</v>
      </c>
      <c r="B130" s="45" t="s">
        <v>853</v>
      </c>
      <c r="C130" s="48">
        <v>15</v>
      </c>
      <c r="D130" s="49">
        <v>3100021501</v>
      </c>
      <c r="E130" s="50" t="s">
        <v>515</v>
      </c>
      <c r="F130" s="51" t="s">
        <v>481</v>
      </c>
      <c r="G130" s="52">
        <v>45205</v>
      </c>
      <c r="H130" s="45"/>
      <c r="I130" s="45"/>
    </row>
    <row r="131" spans="1:9" x14ac:dyDescent="0.2">
      <c r="A131" s="45" t="s">
        <v>854</v>
      </c>
      <c r="B131" s="45" t="s">
        <v>855</v>
      </c>
      <c r="C131" s="48">
        <v>29</v>
      </c>
      <c r="D131" s="49">
        <v>3100021501</v>
      </c>
      <c r="E131" s="50" t="s">
        <v>515</v>
      </c>
      <c r="F131" s="51" t="s">
        <v>481</v>
      </c>
      <c r="G131" s="52">
        <v>45205</v>
      </c>
      <c r="H131" s="45"/>
      <c r="I131" s="45"/>
    </row>
    <row r="132" spans="1:9" x14ac:dyDescent="0.2">
      <c r="A132" s="45" t="s">
        <v>872</v>
      </c>
      <c r="B132" s="45" t="s">
        <v>873</v>
      </c>
      <c r="C132" s="48">
        <v>29</v>
      </c>
      <c r="D132" s="49">
        <v>3100021567</v>
      </c>
      <c r="E132" s="50" t="s">
        <v>484</v>
      </c>
      <c r="F132" s="51" t="s">
        <v>481</v>
      </c>
      <c r="G132" s="52">
        <v>45205</v>
      </c>
      <c r="H132" s="45"/>
      <c r="I132" s="45"/>
    </row>
    <row r="133" spans="1:9" x14ac:dyDescent="0.2">
      <c r="A133" s="45" t="s">
        <v>876</v>
      </c>
      <c r="B133" s="45" t="s">
        <v>877</v>
      </c>
      <c r="C133" s="48">
        <v>192</v>
      </c>
      <c r="D133" s="49">
        <v>3100021567</v>
      </c>
      <c r="E133" s="50" t="s">
        <v>484</v>
      </c>
      <c r="F133" s="51" t="s">
        <v>481</v>
      </c>
      <c r="G133" s="52">
        <v>45205</v>
      </c>
      <c r="H133" s="45"/>
      <c r="I133" s="45"/>
    </row>
    <row r="134" spans="1:9" x14ac:dyDescent="0.2">
      <c r="A134" s="45" t="s">
        <v>880</v>
      </c>
      <c r="B134" s="45" t="s">
        <v>561</v>
      </c>
      <c r="C134" s="48">
        <v>57</v>
      </c>
      <c r="D134" s="49">
        <v>3100021567</v>
      </c>
      <c r="E134" s="50" t="s">
        <v>484</v>
      </c>
      <c r="F134" s="51" t="s">
        <v>481</v>
      </c>
      <c r="G134" s="52">
        <v>45205</v>
      </c>
      <c r="H134" s="45"/>
      <c r="I134" s="45"/>
    </row>
    <row r="135" spans="1:9" x14ac:dyDescent="0.2">
      <c r="A135" s="45" t="s">
        <v>881</v>
      </c>
      <c r="B135" s="45" t="s">
        <v>560</v>
      </c>
      <c r="C135" s="48">
        <v>21</v>
      </c>
      <c r="D135" s="49">
        <v>3100021567</v>
      </c>
      <c r="E135" s="50" t="s">
        <v>484</v>
      </c>
      <c r="F135" s="51" t="s">
        <v>481</v>
      </c>
      <c r="G135" s="52">
        <v>45205</v>
      </c>
      <c r="H135" s="45"/>
      <c r="I135" s="45"/>
    </row>
    <row r="136" spans="1:9" x14ac:dyDescent="0.2">
      <c r="A136" s="45" t="s">
        <v>883</v>
      </c>
      <c r="B136" s="45" t="s">
        <v>556</v>
      </c>
      <c r="C136" s="48">
        <v>19</v>
      </c>
      <c r="D136" s="49">
        <v>3100021567</v>
      </c>
      <c r="E136" s="50" t="s">
        <v>484</v>
      </c>
      <c r="F136" s="51" t="s">
        <v>481</v>
      </c>
      <c r="G136" s="52">
        <v>45205</v>
      </c>
      <c r="H136" s="45"/>
      <c r="I136" s="45"/>
    </row>
    <row r="137" spans="1:9" x14ac:dyDescent="0.2">
      <c r="A137" s="45" t="s">
        <v>891</v>
      </c>
      <c r="B137" s="45" t="s">
        <v>892</v>
      </c>
      <c r="C137" s="48">
        <v>11</v>
      </c>
      <c r="D137" s="49">
        <v>3100021567</v>
      </c>
      <c r="E137" s="50" t="s">
        <v>484</v>
      </c>
      <c r="F137" s="51" t="s">
        <v>481</v>
      </c>
      <c r="G137" s="52">
        <v>45205</v>
      </c>
      <c r="H137" s="45"/>
      <c r="I137" s="45"/>
    </row>
    <row r="138" spans="1:9" x14ac:dyDescent="0.2">
      <c r="A138" s="45" t="s">
        <v>899</v>
      </c>
      <c r="B138" s="45" t="s">
        <v>900</v>
      </c>
      <c r="C138" s="48">
        <v>15</v>
      </c>
      <c r="D138" s="49">
        <v>3100021450</v>
      </c>
      <c r="E138" s="50" t="s">
        <v>484</v>
      </c>
      <c r="F138" s="51" t="s">
        <v>481</v>
      </c>
      <c r="G138" s="52">
        <v>45205</v>
      </c>
      <c r="H138" s="45"/>
      <c r="I138" s="45"/>
    </row>
    <row r="139" spans="1:9" x14ac:dyDescent="0.2">
      <c r="A139" s="45" t="s">
        <v>876</v>
      </c>
      <c r="B139" s="45" t="s">
        <v>877</v>
      </c>
      <c r="C139" s="48">
        <v>5</v>
      </c>
      <c r="D139" s="49">
        <v>3100021567</v>
      </c>
      <c r="E139" s="50" t="s">
        <v>484</v>
      </c>
      <c r="F139" s="51" t="s">
        <v>481</v>
      </c>
      <c r="G139" s="52">
        <v>45205</v>
      </c>
      <c r="H139" s="45"/>
      <c r="I139" s="45"/>
    </row>
    <row r="140" spans="1:9" x14ac:dyDescent="0.2">
      <c r="A140" s="45" t="s">
        <v>883</v>
      </c>
      <c r="B140" s="45" t="s">
        <v>556</v>
      </c>
      <c r="C140" s="48">
        <v>5</v>
      </c>
      <c r="D140" s="49">
        <v>3100021567</v>
      </c>
      <c r="E140" s="50" t="s">
        <v>484</v>
      </c>
      <c r="F140" s="51" t="s">
        <v>481</v>
      </c>
      <c r="G140" s="52">
        <v>45205</v>
      </c>
      <c r="H140" s="45"/>
      <c r="I140" s="45"/>
    </row>
    <row r="141" spans="1:9" x14ac:dyDescent="0.2">
      <c r="A141" s="45" t="s">
        <v>872</v>
      </c>
      <c r="B141" s="45" t="s">
        <v>873</v>
      </c>
      <c r="C141" s="48">
        <v>26</v>
      </c>
      <c r="D141" s="49">
        <v>3100021567</v>
      </c>
      <c r="E141" s="50" t="s">
        <v>484</v>
      </c>
      <c r="F141" s="51" t="s">
        <v>481</v>
      </c>
      <c r="G141" s="52">
        <v>45205</v>
      </c>
      <c r="H141" s="45"/>
      <c r="I141" s="45"/>
    </row>
    <row r="142" spans="1:9" x14ac:dyDescent="0.2">
      <c r="A142" s="45" t="s">
        <v>915</v>
      </c>
      <c r="B142" s="45" t="s">
        <v>916</v>
      </c>
      <c r="C142" s="48">
        <v>21</v>
      </c>
      <c r="D142" s="49">
        <v>3100021506</v>
      </c>
      <c r="E142" s="50" t="s">
        <v>475</v>
      </c>
      <c r="F142" s="51" t="s">
        <v>476</v>
      </c>
      <c r="G142" s="52">
        <v>45212</v>
      </c>
      <c r="H142" s="45"/>
      <c r="I142" s="45"/>
    </row>
    <row r="143" spans="1:9" x14ac:dyDescent="0.2">
      <c r="A143" s="45" t="s">
        <v>921</v>
      </c>
      <c r="B143" s="45" t="s">
        <v>922</v>
      </c>
      <c r="C143" s="48">
        <v>18</v>
      </c>
      <c r="D143" s="49">
        <v>3100021506</v>
      </c>
      <c r="E143" s="50" t="s">
        <v>475</v>
      </c>
      <c r="F143" s="51" t="s">
        <v>476</v>
      </c>
      <c r="G143" s="52">
        <v>45212</v>
      </c>
      <c r="H143" s="45"/>
      <c r="I143" s="45"/>
    </row>
    <row r="144" spans="1:9" x14ac:dyDescent="0.2">
      <c r="A144" s="45" t="s">
        <v>921</v>
      </c>
      <c r="B144" s="45" t="s">
        <v>922</v>
      </c>
      <c r="C144" s="48">
        <v>28</v>
      </c>
      <c r="D144" s="49">
        <v>3100021506</v>
      </c>
      <c r="E144" s="50" t="s">
        <v>475</v>
      </c>
      <c r="F144" s="51" t="s">
        <v>476</v>
      </c>
      <c r="G144" s="52">
        <v>45212</v>
      </c>
      <c r="H144" s="45"/>
      <c r="I144" s="45"/>
    </row>
    <row r="145" spans="1:9" x14ac:dyDescent="0.2">
      <c r="A145" s="45" t="s">
        <v>457</v>
      </c>
      <c r="B145" s="45" t="s">
        <v>458</v>
      </c>
      <c r="C145" s="48">
        <v>1000</v>
      </c>
      <c r="D145" s="49">
        <v>3100021015</v>
      </c>
      <c r="E145" s="50" t="s">
        <v>573</v>
      </c>
      <c r="F145" s="51" t="s">
        <v>504</v>
      </c>
      <c r="G145" s="52">
        <v>45215</v>
      </c>
      <c r="H145" s="45"/>
      <c r="I145" s="45"/>
    </row>
    <row r="146" spans="1:9" x14ac:dyDescent="0.2">
      <c r="A146" s="45" t="s">
        <v>457</v>
      </c>
      <c r="B146" s="45" t="s">
        <v>458</v>
      </c>
      <c r="C146" s="48">
        <v>800</v>
      </c>
      <c r="D146" s="49">
        <v>3100021015</v>
      </c>
      <c r="E146" s="50" t="s">
        <v>573</v>
      </c>
      <c r="F146" s="51" t="s">
        <v>504</v>
      </c>
      <c r="G146" s="52">
        <v>45215</v>
      </c>
      <c r="H146" s="45"/>
      <c r="I146" s="45"/>
    </row>
    <row r="147" spans="1:9" x14ac:dyDescent="0.2">
      <c r="A147" s="45" t="s">
        <v>923</v>
      </c>
      <c r="B147" s="45" t="s">
        <v>578</v>
      </c>
      <c r="C147" s="48">
        <v>150</v>
      </c>
      <c r="D147" s="49">
        <v>3100021015</v>
      </c>
      <c r="E147" s="50" t="s">
        <v>573</v>
      </c>
      <c r="F147" s="51" t="s">
        <v>504</v>
      </c>
      <c r="G147" s="52">
        <v>45215</v>
      </c>
      <c r="H147" s="45"/>
      <c r="I147" s="45"/>
    </row>
    <row r="148" spans="1:9" x14ac:dyDescent="0.2">
      <c r="A148" s="45" t="s">
        <v>924</v>
      </c>
      <c r="B148" s="45" t="s">
        <v>577</v>
      </c>
      <c r="C148" s="48">
        <v>150</v>
      </c>
      <c r="D148" s="49">
        <v>3100021015</v>
      </c>
      <c r="E148" s="50" t="s">
        <v>573</v>
      </c>
      <c r="F148" s="51" t="s">
        <v>504</v>
      </c>
      <c r="G148" s="52">
        <v>45215</v>
      </c>
      <c r="H148" s="45"/>
      <c r="I148" s="45"/>
    </row>
    <row r="149" spans="1:9" x14ac:dyDescent="0.2">
      <c r="A149" s="45" t="s">
        <v>931</v>
      </c>
      <c r="B149" s="45" t="s">
        <v>616</v>
      </c>
      <c r="C149" s="48">
        <v>2500</v>
      </c>
      <c r="D149" s="49">
        <v>3100021636</v>
      </c>
      <c r="E149" s="50" t="s">
        <v>535</v>
      </c>
      <c r="F149" s="51" t="s">
        <v>536</v>
      </c>
      <c r="G149" s="52">
        <v>45230</v>
      </c>
      <c r="H149" s="45"/>
      <c r="I149" s="45"/>
    </row>
    <row r="150" spans="1:9" x14ac:dyDescent="0.2">
      <c r="A150" s="45" t="s">
        <v>931</v>
      </c>
      <c r="B150" s="45" t="s">
        <v>616</v>
      </c>
      <c r="C150" s="48">
        <v>2654</v>
      </c>
      <c r="D150" s="49">
        <v>3100021636</v>
      </c>
      <c r="E150" s="50" t="s">
        <v>535</v>
      </c>
      <c r="F150" s="51" t="s">
        <v>536</v>
      </c>
      <c r="G150" s="52">
        <v>45230</v>
      </c>
      <c r="H150" s="45"/>
      <c r="I150" s="45"/>
    </row>
    <row r="151" spans="1:9" x14ac:dyDescent="0.2">
      <c r="A151" s="45" t="s">
        <v>937</v>
      </c>
      <c r="B151" s="45" t="s">
        <v>938</v>
      </c>
      <c r="C151" s="48">
        <v>50</v>
      </c>
      <c r="D151" s="49">
        <v>3100020827</v>
      </c>
      <c r="E151" s="50" t="s">
        <v>527</v>
      </c>
      <c r="F151" s="51" t="s">
        <v>504</v>
      </c>
      <c r="G151" s="52">
        <v>45278</v>
      </c>
      <c r="H151" s="45"/>
      <c r="I151" s="45"/>
    </row>
    <row r="152" spans="1:9" x14ac:dyDescent="0.2">
      <c r="A152" s="45" t="s">
        <v>953</v>
      </c>
      <c r="B152" s="45" t="s">
        <v>954</v>
      </c>
      <c r="C152" s="48">
        <v>510</v>
      </c>
      <c r="D152" s="49" t="s">
        <v>472</v>
      </c>
      <c r="E152" s="50" t="s">
        <v>472</v>
      </c>
      <c r="F152" s="51" t="s">
        <v>504</v>
      </c>
      <c r="G152" s="52" t="s">
        <v>472</v>
      </c>
      <c r="H152" s="45"/>
      <c r="I152" s="45"/>
    </row>
    <row r="153" spans="1:9" x14ac:dyDescent="0.2">
      <c r="A153" s="45" t="s">
        <v>955</v>
      </c>
      <c r="B153" s="45" t="s">
        <v>579</v>
      </c>
      <c r="C153" s="48">
        <v>250</v>
      </c>
      <c r="D153" s="49" t="s">
        <v>472</v>
      </c>
      <c r="E153" s="50" t="s">
        <v>472</v>
      </c>
      <c r="F153" s="51" t="s">
        <v>504</v>
      </c>
      <c r="G153" s="52" t="s">
        <v>472</v>
      </c>
      <c r="H153" s="45"/>
      <c r="I153" s="45"/>
    </row>
    <row r="154" spans="1:9" x14ac:dyDescent="0.2">
      <c r="A154" s="45" t="s">
        <v>963</v>
      </c>
      <c r="B154" s="45" t="s">
        <v>964</v>
      </c>
      <c r="C154" s="48">
        <v>35</v>
      </c>
      <c r="D154" s="49" t="s">
        <v>472</v>
      </c>
      <c r="E154" s="50" t="s">
        <v>472</v>
      </c>
      <c r="F154" s="51" t="s">
        <v>504</v>
      </c>
      <c r="G154" s="52" t="s">
        <v>472</v>
      </c>
      <c r="H154" s="45"/>
      <c r="I154" s="45"/>
    </row>
    <row r="155" spans="1:9" x14ac:dyDescent="0.2">
      <c r="A155" s="45" t="s">
        <v>965</v>
      </c>
      <c r="B155" s="45" t="s">
        <v>966</v>
      </c>
      <c r="C155" s="48">
        <v>50</v>
      </c>
      <c r="D155" s="49" t="s">
        <v>472</v>
      </c>
      <c r="E155" s="50" t="s">
        <v>472</v>
      </c>
      <c r="F155" s="51" t="s">
        <v>504</v>
      </c>
      <c r="G155" s="52" t="s">
        <v>472</v>
      </c>
      <c r="H155" s="45"/>
      <c r="I155" s="45"/>
    </row>
    <row r="156" spans="1:9" x14ac:dyDescent="0.2">
      <c r="A156" s="45" t="s">
        <v>967</v>
      </c>
      <c r="B156" s="45" t="s">
        <v>968</v>
      </c>
      <c r="C156" s="48">
        <v>20</v>
      </c>
      <c r="D156" s="49" t="s">
        <v>472</v>
      </c>
      <c r="E156" s="50" t="s">
        <v>472</v>
      </c>
      <c r="F156" s="51" t="s">
        <v>504</v>
      </c>
      <c r="G156" s="52" t="s">
        <v>472</v>
      </c>
      <c r="H156" s="45"/>
      <c r="I156" s="45"/>
    </row>
    <row r="157" spans="1:9" x14ac:dyDescent="0.2">
      <c r="A157" s="45" t="s">
        <v>969</v>
      </c>
      <c r="B157" s="45" t="s">
        <v>970</v>
      </c>
      <c r="C157" s="48">
        <v>30</v>
      </c>
      <c r="D157" s="49" t="s">
        <v>472</v>
      </c>
      <c r="E157" s="50" t="s">
        <v>472</v>
      </c>
      <c r="F157" s="51" t="s">
        <v>504</v>
      </c>
      <c r="G157" s="52" t="s">
        <v>472</v>
      </c>
      <c r="H157" s="45"/>
      <c r="I157" s="45"/>
    </row>
    <row r="158" spans="1:9" x14ac:dyDescent="0.2">
      <c r="A158" s="45" t="s">
        <v>977</v>
      </c>
      <c r="B158" s="45" t="s">
        <v>978</v>
      </c>
      <c r="C158" s="48">
        <v>14</v>
      </c>
      <c r="D158" s="49" t="e">
        <v>#N/A</v>
      </c>
      <c r="E158" s="50" t="e">
        <v>#N/A</v>
      </c>
      <c r="F158" s="51" t="e">
        <v>#N/A</v>
      </c>
      <c r="G158" s="52" t="e">
        <v>#N/A</v>
      </c>
      <c r="H158" s="45"/>
      <c r="I158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SOĞUK DÖVME</vt:lpstr>
      <vt:lpstr>Kapasite</vt:lpstr>
      <vt:lpstr>MEKANİK</vt:lpstr>
      <vt:lpstr>ISIL İŞLEM</vt:lpstr>
      <vt:lpstr>ÜRETİMDEN ISILA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Alperen Demir</cp:lastModifiedBy>
  <cp:revision>1</cp:revision>
  <dcterms:modified xsi:type="dcterms:W3CDTF">2024-05-15T18:16:44Z</dcterms:modified>
  <cp:category/>
</cp:coreProperties>
</file>